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Principal" sheetId="1" r:id="rId5"/>
    <sheet state="visible" name="Requisitos" sheetId="2" r:id="rId6"/>
  </sheets>
  <definedNames/>
  <calcPr/>
</workbook>
</file>

<file path=xl/sharedStrings.xml><?xml version="1.0" encoding="utf-8"?>
<sst xmlns="http://schemas.openxmlformats.org/spreadsheetml/2006/main" count="669" uniqueCount="311">
  <si>
    <t>PROJETO HELP ACADÊMICO: CRONOGRAMA COM GRÁFICO DE GANTT</t>
  </si>
  <si>
    <t> </t>
  </si>
  <si>
    <t>Data de Início</t>
  </si>
  <si>
    <t>PROJETO HELP ACADÊMICO: CRONOGRAMA DA CODIFICAÇÃO DOS REQUISITOS</t>
  </si>
  <si>
    <t>ID</t>
  </si>
  <si>
    <t>Atividades</t>
  </si>
  <si>
    <t>Responsáveis</t>
  </si>
  <si>
    <t>Início</t>
  </si>
  <si>
    <t>Término</t>
  </si>
  <si>
    <t>Duração (dias)</t>
  </si>
  <si>
    <t>Status</t>
  </si>
  <si>
    <t>Progresso</t>
  </si>
  <si>
    <t>Depências</t>
  </si>
  <si>
    <t>Justificativa/Proposta de Solução</t>
  </si>
  <si>
    <t>Grupo</t>
  </si>
  <si>
    <t>Nenhuma</t>
  </si>
  <si>
    <t>Lista de Stakeholders</t>
  </si>
  <si>
    <t>Data de Término</t>
  </si>
  <si>
    <t>Salto (dias):</t>
  </si>
  <si>
    <t>Insights de Formulários com Stakeholders</t>
  </si>
  <si>
    <t>Lista de Requisitos</t>
  </si>
  <si>
    <t>Nota: Como todo usuário (pessoa ou sistema externo) precisa se cadastrar e estar logado via controle de acesso e autenticação da instituição vigente, percebe-se que todo requisito a partir do REQ-006 possui dependência de término para início com os requisitos (001, 002, 003, 004 e 005), quando não especificado na coluna de depências.</t>
  </si>
  <si>
    <t>Justif./Propos. e Formulários (em parte)</t>
  </si>
  <si>
    <t xml:space="preserve">Histórias de Usuário + Casos de Uso </t>
  </si>
  <si>
    <t xml:space="preserve"> CAMINHO CRÍTICO (barras vermelhas): REQ-001 → REQ-002 → REQ-004 → REQ-083 → REQ-009 → REQ-017 → REQ-026 → REQ-036 → REQ-016 | Duração acumulada: 34 dias</t>
  </si>
  <si>
    <t>Formulários e Lista de Req.</t>
  </si>
  <si>
    <t>Protótipos das principais telas</t>
  </si>
  <si>
    <t>Cronograma do Projeto</t>
  </si>
  <si>
    <t>Todas as Atividades Anteriores</t>
  </si>
  <si>
    <t>Codificação de cada requisito</t>
  </si>
  <si>
    <t>Monitoramento e Controle</t>
  </si>
  <si>
    <t>Codificação Iterativa de cada requisito</t>
  </si>
  <si>
    <t>Não Iniciado</t>
  </si>
  <si>
    <t>Em Progresso</t>
  </si>
  <si>
    <t>Completo</t>
  </si>
  <si>
    <t>Nomes dos Requisitos</t>
  </si>
  <si>
    <t>Depêndencias</t>
  </si>
  <si>
    <t>REQ-001</t>
  </si>
  <si>
    <t>Cadastrar Usuário</t>
  </si>
  <si>
    <t>Edivaldo</t>
  </si>
  <si>
    <t>N/A</t>
  </si>
  <si>
    <t>REQ-005</t>
  </si>
  <si>
    <t>Logar Conta do Usuário</t>
  </si>
  <si>
    <t>REQ-001 e REQ-002</t>
  </si>
  <si>
    <t>REQ-006</t>
  </si>
  <si>
    <t>Deslogar Conta do Usuário</t>
  </si>
  <si>
    <t>Gustavo</t>
  </si>
  <si>
    <t>REQ-001 e  REQ-005 ( Logar Conta do Usuário)</t>
  </si>
  <si>
    <t>REQ-002</t>
  </si>
  <si>
    <t xml:space="preserve"> Autenticar de Usuários</t>
  </si>
  <si>
    <t>REQ-001 (Cadastrar Usuário)</t>
  </si>
  <si>
    <t>REQ-003</t>
  </si>
  <si>
    <t>Estabelecer Política de Senhas Fortes</t>
  </si>
  <si>
    <t xml:space="preserve">REQ-001 </t>
  </si>
  <si>
    <t>REQ-004</t>
  </si>
  <si>
    <t>Controlar Acesso</t>
  </si>
  <si>
    <t>REQ-002 (Autenticar de Usuários)</t>
  </si>
  <si>
    <t>REQ-007</t>
  </si>
  <si>
    <t xml:space="preserve"> Fomentar Comunicação Segura entre Usuários
</t>
  </si>
  <si>
    <t>João Vitor</t>
  </si>
  <si>
    <t xml:space="preserve">  REQ-001 (Cadastrar Usuário), REQ-004 (Controlar Acesso)</t>
  </si>
  <si>
    <t>REQ-020</t>
  </si>
  <si>
    <t>Relatar Erro</t>
  </si>
  <si>
    <t>REQ-001 até REQ-005</t>
  </si>
  <si>
    <t>REQ-010</t>
  </si>
  <si>
    <t>Personalizar Dados da Conta O sistema deve permitir os usuários a alterar 
seus dados pessoais de cadastro</t>
  </si>
  <si>
    <t xml:space="preserve">  REQ-001 (Cadastrar Usuário),
  REQ-005 (Logar Conta do Usuário)</t>
  </si>
  <si>
    <t>REQ-023</t>
  </si>
  <si>
    <t>Oferecer Descrições Alternativas 
para Imagens</t>
  </si>
  <si>
    <t xml:space="preserve">REQ-013 </t>
  </si>
  <si>
    <t>REQ-040</t>
  </si>
  <si>
    <t>Disponibilizar Fórum de Comunidade Segura</t>
  </si>
  <si>
    <t>REQ-004 (Controlar Acesso), 
  REQ-007 (Fomentar Comunicação Segura entre Usuários)</t>
  </si>
  <si>
    <t>REQ-021</t>
  </si>
  <si>
    <t>Disponibilizar Indicação Visual e Auditiva de Erros</t>
  </si>
  <si>
    <t>REQ-013 (Gerar Feedback Multissensorial) e
REQ-023 (Oferecer Descrições Alternativas 
para Imagens)</t>
  </si>
  <si>
    <t>REQ-011</t>
  </si>
  <si>
    <t>Personalizar Perfil e Preferências</t>
  </si>
  <si>
    <t>REQ-005 (Logar Conta do Usuário)</t>
  </si>
  <si>
    <t>REQ-019</t>
  </si>
  <si>
    <t>Exibir Aba de Perguntas Frequentes(FAQ)</t>
  </si>
  <si>
    <t>REQ-004 (Controlar Acesso)</t>
  </si>
  <si>
    <t>REQ-012</t>
  </si>
  <si>
    <t>Ajustar Contraste e Tamanho de Fonte</t>
  </si>
  <si>
    <t>Wilgner</t>
  </si>
  <si>
    <t>REQ-011 (Personalizar Perfil e Preferências)</t>
  </si>
  <si>
    <t>REQ-013</t>
  </si>
  <si>
    <t>Gerar Feedback Multissensorial</t>
  </si>
  <si>
    <t>REQ-021 (Disponibilizar Indicação Visual e Auditiva de Erros)</t>
  </si>
  <si>
    <t>HOMOLOGAÇÃO</t>
  </si>
  <si>
    <t>Validação das funcionalidades com o usuário/cliente</t>
  </si>
  <si>
    <t>Equipe e Usuários</t>
  </si>
  <si>
    <t>Bloco de Requisitos Desenvolvidos</t>
  </si>
  <si>
    <t>AJUSTES E REFINO</t>
  </si>
  <si>
    <t>O tempo necessário para corrigir o que foi apontado na homologação.</t>
  </si>
  <si>
    <t>Equipe</t>
  </si>
  <si>
    <t>REVISÃO E IMPLANTAÇÃO</t>
  </si>
  <si>
    <t xml:space="preserve">O fechamento técnico daquela entrega.
</t>
  </si>
  <si>
    <t>TREINAMENTO</t>
  </si>
  <si>
    <t>Capacitação de quem vai usar o que acabou de ser construído.</t>
  </si>
  <si>
    <t>REQ-062</t>
  </si>
  <si>
    <t>Seguir Diretrizes Curriculares Nacionais (DCNs)</t>
  </si>
  <si>
    <t>REQ-061</t>
  </si>
  <si>
    <t>Gerar Relatórios de Dados Educacionais para o MEC</t>
  </si>
  <si>
    <t>REQ-025</t>
  </si>
  <si>
    <t>Disponibilizar Caixa de mensagens</t>
  </si>
  <si>
    <t>REQ-007 (Fomentar Comunicação Segura entre Usuários)</t>
  </si>
  <si>
    <t>REQ-083</t>
  </si>
  <si>
    <t>Aplicar Criptografia de Dados</t>
  </si>
  <si>
    <t xml:space="preserve">REQ-002 (Autenticar de Usuários), REQ-004 (Controlar Acesso) </t>
  </si>
  <si>
    <t>REQ-009</t>
  </si>
  <si>
    <t>Proteger contra Perda de Dados</t>
  </si>
  <si>
    <t xml:space="preserve">REQ-083 (Aplicar Criptografia de Dados), </t>
  </si>
  <si>
    <t>REQ-017</t>
  </si>
  <si>
    <t>Tornar Disponível Offline</t>
  </si>
  <si>
    <t>REQ-009 (Proteger contra Perda de Dados)</t>
  </si>
  <si>
    <t>REQ-038</t>
  </si>
  <si>
    <t>Gerar Relatórios Emocionais</t>
  </si>
  <si>
    <t xml:space="preserve"> REQ-004 (Controlar Acesso),</t>
  </si>
  <si>
    <t>REQ- 015</t>
  </si>
  <si>
    <t>Integrar com Calendário Acadêmico</t>
  </si>
  <si>
    <t>REQ-002 (Autenticar de Usuários), REQ-005 (Logar Conta do Usuário), REQ-011 (Personalizar Perfil e Preferências) e REQ-025 (Disponibilizar Caixa de Mensagens)</t>
  </si>
  <si>
    <t>REQ-077</t>
  </si>
  <si>
    <t>Garantir Sigilo e Confidencialidade de Dados do Paciente</t>
  </si>
  <si>
    <t>REQ-083 (Aplicar Criptografia de Dados)</t>
  </si>
  <si>
    <t>REQ-018</t>
  </si>
  <si>
    <t>Disponibilizar Barra de Busca</t>
  </si>
  <si>
    <t>REQ-031 (Disponibilizar Biblioteca Digital de Conteúdos Educativos)</t>
  </si>
  <si>
    <t>REQ-071</t>
  </si>
  <si>
    <t>Permitir Auditoria e Registro de Atividades</t>
  </si>
  <si>
    <t>REQ-002 (Autenticar de Usuários), REQ-004 (Controlar Acesso),  REQ-009 (Proteger contra Perda de Dados), REQ-077 (Garantir Sigilo e Confidencialidade), REQ-064 (Garantir Conformidade com a LGPD)</t>
  </si>
  <si>
    <t>REQ-026</t>
  </si>
  <si>
    <t>Ofertar Módulo de Autoajuda/Assistência</t>
  </si>
  <si>
    <t>REQ-017 (Tornar Disponível Offline), REQ-012 (Ajustar Contraste e Tamanho de Fonte), REQ-022 (Disponibilizar Legendas e
Transcrições para Mídia), REQ-023 (Oferecer Descrições
Alternativas para Imagens) e REQ-028 (Mostrar Estatísticas Pessoais de Uso)</t>
  </si>
  <si>
    <t>REQ-022</t>
  </si>
  <si>
    <t>Disponibilizar Legendas e Transcrições para Mídia</t>
  </si>
  <si>
    <t>REQ-014 (Exibir Tutoriais Interativos e Guias de Acessibilidade)</t>
  </si>
  <si>
    <t>REQ-065</t>
  </si>
  <si>
    <t>Monitorar Acessos Suspeitos</t>
  </si>
  <si>
    <t>REQ-064 (Garantir Conformidade com a LGPD), REQ-001 (Cadastrar Usuário), REQ-005 (Logar Conta do Usuário) e REQ-071 (Permitir Auditoria e Registro de Atividade)</t>
  </si>
  <si>
    <t>REQ-087</t>
  </si>
  <si>
    <t>Constituir Portabilidade</t>
  </si>
  <si>
    <t>REQ-078 (Conceber Desempenho),
 REQ-079 ( Buscar Compatibilidade),</t>
  </si>
  <si>
    <t>REQ-060</t>
  </si>
  <si>
    <t>Gerar Relatórios Acadêmicos</t>
  </si>
  <si>
    <t xml:space="preserve"> REQ-004 (Controlar Acesso)</t>
  </si>
  <si>
    <t>REQ-028</t>
  </si>
  <si>
    <t>Mostrar Estatísticas Pessoais de Uso</t>
  </si>
  <si>
    <t>REQ-038 (Gerar Relatórios Emocionais) 
REQ-060 (Gerar Relatórios Acadêmicos)</t>
  </si>
  <si>
    <t>REQ-037</t>
  </si>
  <si>
    <t>Disponibilizar Diário Mental do Estudante</t>
  </si>
  <si>
    <t>REQ-005 (Logar Conta do Usuário), REQ-002 (Autenticar de Usuários), REQ-004 (Controlar Acesso),  REQ-009 (Proteger contra Perda de Dados), REQ-077 (Garantir Sigilo e Confidencialidade), REQ-017 (Tornar Disponível Offline) e REQ-028 (Mostrar Estatísticas Pessoais de Uso)</t>
  </si>
  <si>
    <t>REQ-070</t>
  </si>
  <si>
    <t>Notificar Casos de Risco</t>
  </si>
  <si>
    <t>REQ-034 (Identificar Sinais de Alerta) e 
REQ-033 (Orientar Apoio de Entidade)</t>
  </si>
  <si>
    <t>REQ-024</t>
  </si>
  <si>
    <t>Emitir Notificação de Atualização do Sistema</t>
  </si>
  <si>
    <t>REQ-025 (Disponibilizar Caixa de Mensagens)
REQ-020 (Gerenciar Notificações do Sistema)</t>
  </si>
  <si>
    <t>REQ-008</t>
  </si>
  <si>
    <t xml:space="preserve">Gerar Relatórios Integrados
</t>
  </si>
  <si>
    <t xml:space="preserve">   N/A</t>
  </si>
  <si>
    <t>REQ-034</t>
  </si>
  <si>
    <t>Identificar Sinais de Alerta</t>
  </si>
  <si>
    <t>REQ-026, REQ-008 (Gerar Relatórios Integrados) e 
REQ-033 (Orientar Apoio de Entidade)</t>
  </si>
  <si>
    <t>REQ-036</t>
  </si>
  <si>
    <t>Recomendar Exercícios de Bem-Estar</t>
  </si>
  <si>
    <t>REQ-026 (Ofertar Módulo de Autoajuda/Assistência)</t>
  </si>
  <si>
    <t>REQ-030</t>
  </si>
  <si>
    <t>Fomentar seções de Abordagem de Problemáticas</t>
  </si>
  <si>
    <t>REQ-026 (Ofertar Módulo de
Autoajuda/Assistência) e 
REQ-007 (Fomentar Comunicação
Segura entre Usuários)</t>
  </si>
  <si>
    <t>REQ-050</t>
  </si>
  <si>
    <t>Registrar Prontuário</t>
  </si>
  <si>
    <t xml:space="preserve">REQ-040 (Acessar Consultas Tradicionais )
REQ-041 (Acessar Teleconsultas) </t>
  </si>
  <si>
    <t>REQ-029</t>
  </si>
  <si>
    <t>Disponibilizar Canal de Sugestões e Feedback</t>
  </si>
  <si>
    <t>REQ-074</t>
  </si>
  <si>
    <t>Pedir Consentimento Explícito para Uso de Dados</t>
  </si>
  <si>
    <t>REQ-007 (Fomentar Comunicação Segura), REQ-025 (Disponibilizar Caixa de Mensagens), REQ-040 (Realizar Teleconsultas), REQ-002 (Autenticar de Usuários), REQ-005 (Logar Conta do Usuário), REQ-064 (Garantir Conformidade com a LGPD) e REQ-077 (Garantir Sigilo e Confidencialidade)</t>
  </si>
  <si>
    <t>REQ-068</t>
  </si>
  <si>
    <t>Gerenciar Ciclo de Vida dos Dados Pessoais</t>
  </si>
  <si>
    <t xml:space="preserve">REQ-009,  REQ-071  e REQ-074  </t>
  </si>
  <si>
    <t>REQ-039</t>
  </si>
  <si>
    <t>REQ-027</t>
  </si>
  <si>
    <t>Fomentar Seções Desmistificadoras</t>
  </si>
  <si>
    <t>REQ-051</t>
  </si>
  <si>
    <t>Configurar Plano de Tratamento Personalizado</t>
  </si>
  <si>
    <t xml:space="preserve">REQ-050 (Registrar Prontuário )
 REQ-064  (Validar Credenciais de Psicólogos e Terapeutas) </t>
  </si>
  <si>
    <t>REQ-043</t>
  </si>
  <si>
    <t>Agendar Consulta</t>
  </si>
  <si>
    <t>REQ-040 (Acessar Consultas Tradicionais) e
 REQ-041 (Acessar Teleconsultas)</t>
  </si>
  <si>
    <t>REQ-031</t>
  </si>
  <si>
    <t>Disponibilizar Biblioteca Digital de Conteúdos Educativos</t>
  </si>
  <si>
    <t>REQ-061 (Seguir Diretrizes Curriculares Nacionais (DCNs))</t>
  </si>
  <si>
    <t>REQ-058</t>
  </si>
  <si>
    <t>Auxiliar na formação de Cronogramas</t>
  </si>
  <si>
    <t>REQ-059</t>
  </si>
  <si>
    <t>Implementar Recursos Externos Para Estudos</t>
  </si>
  <si>
    <t>REQ-016</t>
  </si>
  <si>
    <t>Gamificar Aprendizado e Bem-Estar</t>
  </si>
  <si>
    <t>REQ-028 (Mostrar Estatísticas Pessoais de Uso) 
REQ-036 (Recomendar Exercícios de Bem-Estar)</t>
  </si>
  <si>
    <t>REQ-047</t>
  </si>
  <si>
    <t>Disponibilizar Cronograma de Consultas</t>
  </si>
  <si>
    <t>REQ-043 (Agendar Consulta)
REQ-044 (Registrar Consulta como Concluída) 
REQ-045 (Remarcar Consulta) 
REQ-046 (Cancelar consulta</t>
  </si>
  <si>
    <t>REQ-048</t>
  </si>
  <si>
    <t>Gerenciar de Lista de Espera Inteligente</t>
  </si>
  <si>
    <t>REQ-043 (Agendar Consulta), REQ-047 (Disponibilizar Cronograma de Consultas), REQ-046 (Cancelar Consulta), REQ-025 (Disponibilizar Caixa de Mensagens), REQ-005 (Logar Conta do Usuário) e REQ-002 (Autenticar de Usuários)</t>
  </si>
  <si>
    <t>REQ-064</t>
  </si>
  <si>
    <t>Validar Credenciais de Psicólogos e Terapeutas</t>
  </si>
  <si>
    <t>REQ-063 (Controlar Acesso via Perfis com Validação Institucional)</t>
  </si>
  <si>
    <t>REQ-041</t>
  </si>
  <si>
    <t>Acessar Teleconsultas</t>
  </si>
  <si>
    <t>REQ-043 (Agendar Consulta)
REQ-064 (Validar Credenciais de Psicólogos e Terapeutas)</t>
  </si>
  <si>
    <t>REQ-049</t>
  </si>
  <si>
    <t>Notificar Lembrete
Automático</t>
  </si>
  <si>
    <t>REQ-040 ,  REQ-041, REQ-043 (Agendar Consulta) e 
REQ-049 (Gerenciar de Lista de Espera Inteligente)</t>
  </si>
  <si>
    <t>REQ-042</t>
  </si>
  <si>
    <t>Implementar Programa Terceiro para Consultas</t>
  </si>
  <si>
    <t>REQ-041 (Acessar Teleconsultas)
REQ-086 (Promover Interoperabilidade)</t>
  </si>
  <si>
    <t>REQ-057</t>
  </si>
  <si>
    <t xml:space="preserve">Fomentar Cursos e Oficinas de Professores
</t>
  </si>
  <si>
    <t xml:space="preserve"> REQ-004 (Controlar Acesso), 
  REQ-053 (Oferecer Módulos de Aprendizado e Organização)</t>
  </si>
  <si>
    <t>REQ-055</t>
  </si>
  <si>
    <t>Indicar Técnicas de Estudo Ativo</t>
  </si>
  <si>
    <t>REQ-052 (Oferecer Módulos de Aprendizado e Organização)</t>
  </si>
  <si>
    <t>REQ-054</t>
  </si>
  <si>
    <t>Gerar Feedback de Exercícios Acadêmicos</t>
  </si>
  <si>
    <t>REQ-053 (Disponibilizar Materiais de Estudo Ativo)</t>
  </si>
  <si>
    <t>REQ-044</t>
  </si>
  <si>
    <t>Registrar Consulta como Concluída</t>
  </si>
  <si>
    <t>REQ-043 (Agendar Consulta)
REQ-050 (Registrar Prontuário)</t>
  </si>
  <si>
    <t>REQ-052</t>
  </si>
  <si>
    <t>Oferecer Módulos De Aprendizado E Organização</t>
  </si>
  <si>
    <t>REQ-059 (Implementar Recursos
Externos Para Estudos), REQ-055 (Indicar Técnicas de Estudo Ativo),
 REQ-058 (Auxiliar na formação de Cronogramas)</t>
  </si>
  <si>
    <t>REQ-046</t>
  </si>
  <si>
    <t>Remarcar Consulta</t>
  </si>
  <si>
    <t xml:space="preserve">  REQ-044 (Agendar Consulta)</t>
  </si>
  <si>
    <t>REQ-045</t>
  </si>
  <si>
    <t xml:space="preserve"> REQ-041 (Acessar Consultas Tradicionais),
  REQ-042 (Acessar Teleconsultas), REQ-044 (Agendar Consulta)</t>
  </si>
  <si>
    <t>REQ-053</t>
  </si>
  <si>
    <t>Disponibilizar Materiais de Estudo de Ativo</t>
  </si>
  <si>
    <t>REQ-052 (Oferecer Módulos De
Aprendizado E Organização) e REQ-031 (Disponibilizar Biblioteca Digital de Conteúdos Educativos), REQ-060 (Gerar Relatórios Acadêmicos)</t>
  </si>
  <si>
    <t>REQ-066</t>
  </si>
  <si>
    <t>Registrar Sessões e Supervisão Técnica</t>
  </si>
  <si>
    <t>REQ-040 , REQ-041 e REQ-050 (Registrar Prontuário)</t>
  </si>
  <si>
    <t>REQ-056</t>
  </si>
  <si>
    <t>Fomentar Cursos e Oficinas de Professores</t>
  </si>
  <si>
    <t>REQ-004 (Controlar Acesso), REQ-002 (Autenticar de Usuários), REQ-031 (Disponibilizar Biblioteca Digital) e REQ-053 (Disponibilizar Materiais de Estudo Ativo)</t>
  </si>
  <si>
    <t>REQ-075</t>
  </si>
  <si>
    <t>Entrar em Conformidade com o Estatuto da Criança e do Adolescente (ECA)</t>
  </si>
  <si>
    <t>REQ-074 (Pedir Consentimento Explícito para Uso de Dados)</t>
  </si>
  <si>
    <t>REQ-069</t>
  </si>
  <si>
    <t>Seguir Diretrizes da Política Nacional de Saúde Mental</t>
  </si>
  <si>
    <t>REQ-073 – Implementar Registro Eletrônico em Saúde Mental</t>
  </si>
  <si>
    <t>REQ-073</t>
  </si>
  <si>
    <t>Implementar Registro Eletrônico em Saúde Mental</t>
  </si>
  <si>
    <t>REQ-050 (Registrar Prontuário)
REQ-083 (Aplicar Criptografia de Dados)</t>
  </si>
  <si>
    <t>REQ-076</t>
  </si>
  <si>
    <t>Proteger Dados de Menores de Idade</t>
  </si>
  <si>
    <t xml:space="preserve"> REQ-004 (Controlar Acesso),  REQ-064 (Validar Credenciais de Psicólogos e Terapeutas), REQ-075 (Entrar em Conformidade com o ECA),
  REQ-079 (Pedir Consentimento Explícito para Uso de Dados)
REQ-083 (Aplicar Criptografia de Dados)</t>
  </si>
  <si>
    <t>REQ-085</t>
  </si>
  <si>
    <t>Garantir Escalabilidade</t>
  </si>
  <si>
    <t>REQ-078 (Conceber Desempenho)</t>
  </si>
  <si>
    <t>REQ-080</t>
  </si>
  <si>
    <t>Firmar Integração</t>
  </si>
  <si>
    <t>REQ-002 (Autenticar de Usuários), REQ-004 (Controlar Acesso), REQ-071 (Permitir Auditoria e Registro de Atividade), REQ-063 (Controlar Acesso via Perfis com Validação Institucional) e REQ-009 (Proteger contra Perda de Dados)</t>
  </si>
  <si>
    <t>REQ-063</t>
  </si>
  <si>
    <t>Controlar Acesso via Perfis com Validação Institucional</t>
  </si>
  <si>
    <t>REQ-086 (Promover Interoperabilidade), REQ-004 (Controlar Acesso), REQ-002 (Autenticar de Usuários), REQ-071 (Permitir Auditoria e Registro de Atividade) e REQ-069 (Seguir Diretrizes da Política Nacional de Saúde Mental)</t>
  </si>
  <si>
    <t>REQ-067</t>
  </si>
  <si>
    <t>Disponibilizar Portal de
Transparência</t>
  </si>
  <si>
    <t>REQ-010 (Personalizar Dados da Conta), REQ-071 (Permitir Auditoria e Registro de Atividades) e REQ-074  (Pedir Consentimento Explícito para Uso de Dados)</t>
  </si>
  <si>
    <t>REQ-079</t>
  </si>
  <si>
    <t>Buscar Compatibilidade</t>
  </si>
  <si>
    <t>REQ-002 (Autenticar de Usuários), REQ-004 (Controlar Acesso), REQ-071 (Permitir Auditoria e Registro de Atividade) e REQ-063 (Controlar Acesso via Perfis com Validação Institucional)</t>
  </si>
  <si>
    <t>REQ-014</t>
  </si>
  <si>
    <t>Exibir Tutoriais Interativos e Guias de Acessibilidade</t>
  </si>
  <si>
    <t>REQ-001, REQ-005 , REQ-012 (Ajustar Contraste e Tamanho de Fonte), REQ-013 (Gerar Feedback Multissensorial), REQ-022 (Disponibilizar Legendas e
Transcrições para Mídia) e REQ-023 (Oferecer Descrições
Alternativas para Imagens)</t>
  </si>
  <si>
    <t>REQ-032</t>
  </si>
  <si>
    <t>Disponibilizar Questionários Validados</t>
  </si>
  <si>
    <t>REQ-005 (Logar Conta do Usuário), REQ-004 (Controlar Acesso), REQ-009 (Proteger contra Perda de Dados), REQ-012 (Ajustar Contraste e Tamanho de Fonte), REQ-013 (Gerar Feedback Multissensorial) e REQ-021 (Disponibilizar Indicação Visual e Auditiva de Erros)</t>
  </si>
  <si>
    <t>REQ-035</t>
  </si>
  <si>
    <t>Dispor Canal de Encaminhamento Emergencial</t>
  </si>
  <si>
    <t>REQ-007 (Fomentar Comunicação Segura entre Usuários), REQ-069 (Seguir Diretrizes da Política Nacional de Saúde Mental), REQ-012 (Ajustar Contraste) e REQ-013 (Gerar Feedback Multissensorial), REQ-005 (Logar Conta do Usuário) e REQ-002 (Autenticar Usuários)</t>
  </si>
  <si>
    <t>REQ-072</t>
  </si>
  <si>
    <t>Gerenciar Permissões deForma Granular</t>
  </si>
  <si>
    <t>REQ-063 (Controlar Acesso via Perfis
com Validação Institucional)</t>
  </si>
  <si>
    <t>REQ-084</t>
  </si>
  <si>
    <t>Proteger contra Ameaças Cibernéticas</t>
  </si>
  <si>
    <t>REQ-081 (Construir Segurança)</t>
  </si>
  <si>
    <t>REQ-081</t>
  </si>
  <si>
    <t>Construir Segurança</t>
  </si>
  <si>
    <t>REQ-077 (Garantir Sigilo e Confidencialidade de Dados do Paciente), REQ-083 (Aplicar Criptografia de Dados) 
REQ-084 (Proteger contra Ameaças Cibernéticas)</t>
  </si>
  <si>
    <t>REQ-089</t>
  </si>
  <si>
    <t>Política de Retenção Segura de Dados</t>
  </si>
  <si>
    <t xml:space="preserve">REQ-086 (Construir Segurança), REQ-068 (Gerenciar Ciclo de Vida dos Dados Pessoais), </t>
  </si>
  <si>
    <t>REQ-082</t>
  </si>
  <si>
    <t>Seguir infraestrutura</t>
  </si>
  <si>
    <t>(REQ-080) Firmar Integração</t>
  </si>
  <si>
    <t>REQ-088</t>
  </si>
  <si>
    <t>Promover Usabilidade e Acessibilidade</t>
  </si>
  <si>
    <t xml:space="preserve">  REQ-004 (Controlar Acesso),
 REQ-079 ( Pedir Consentimento Explícito para Uso de Dados), 
 REQ-086  (Construir Segurança)</t>
  </si>
  <si>
    <t>REQ-086</t>
  </si>
  <si>
    <t>Promover Interoperabilidade</t>
  </si>
  <si>
    <t>REQ-002 (Autenticar de Usuários), REQ-004 (Controlar Acesso), REQ-071 (Permitir Auditoria e Registro de Atividade), REQ-063 (Controlar Acesso via Perfis com Validação Institucional) e REQ-080 (Firmar Integração)</t>
  </si>
  <si>
    <t>REQ-078</t>
  </si>
  <si>
    <t>Conceber Desempenho</t>
  </si>
  <si>
    <t xml:space="preserve"> REQ-004 (Controlar Acesso),  REQ-082 (Seguir infraestrutura)</t>
  </si>
  <si>
    <t>REQ-033</t>
  </si>
  <si>
    <t>Orientar Apoio de Entidade</t>
  </si>
  <si>
    <t>REQ-032 (Disponibilizar Questionários Validados), REQ-017 (Tornar Disponível Offline), REQ-012 (Ajustar Contraste e Tamanho de Fonte) e REQ-023 (Oferecer Descrições Alternativas para Imagens)</t>
  </si>
  <si>
    <t>Caminho Crítico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</si>
</sst>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dd/MM/yyyy"/>
    <numFmt numFmtId="166" formatCode="dd/mm/yy"/>
  </numFmts>
  <fonts count="15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4.0"/>
      <color rgb="FF000000"/>
      <name val="Calibri"/>
    </font>
    <font/>
    <font>
      <b/>
      <sz val="11.0"/>
      <color rgb="FF000000"/>
      <name val="Calibri"/>
    </font>
    <font>
      <sz val="11.0"/>
      <color theme="0"/>
      <name val="Calibri"/>
    </font>
    <font>
      <b/>
      <sz val="11.0"/>
      <color theme="1"/>
      <name val="Calibri"/>
    </font>
    <font>
      <b/>
      <sz val="11.0"/>
      <color rgb="FF1F4E79"/>
      <name val="Calibri"/>
    </font>
    <font>
      <b/>
      <sz val="11.0"/>
      <color rgb="FF242424"/>
      <name val="Arial"/>
    </font>
    <font>
      <b/>
      <sz val="12.0"/>
      <color rgb="FF000000"/>
      <name val="Calibri"/>
    </font>
    <font>
      <b/>
      <i/>
      <sz val="9.0"/>
      <color rgb="FFCC0000"/>
      <name val="Calibri"/>
      <scheme val="minor"/>
    </font>
    <font>
      <sz val="11.0"/>
      <color rgb="FF1A1A1A"/>
      <name val="Calibri"/>
    </font>
    <font>
      <b/>
      <color rgb="FFFFFFFF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AE3F3"/>
        <bgColor rgb="FFDAE3F3"/>
      </patternFill>
    </fill>
    <fill>
      <patternFill patternType="solid">
        <fgColor rgb="FFFF9999"/>
        <bgColor rgb="FFFF9999"/>
      </patternFill>
    </fill>
    <fill>
      <patternFill patternType="solid">
        <fgColor rgb="FFFFE699"/>
        <bgColor rgb="FFFFE699"/>
      </patternFill>
    </fill>
    <fill>
      <patternFill patternType="solid">
        <fgColor rgb="FFE69138"/>
        <bgColor rgb="FFE69138"/>
      </patternFill>
    </fill>
    <fill>
      <patternFill patternType="solid">
        <fgColor rgb="FFFF4444"/>
        <bgColor rgb="FFFF4444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dotted">
        <color rgb="FF000000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theme="1"/>
      </left>
      <right style="thin">
        <color rgb="FF000000"/>
      </right>
    </border>
    <border>
      <right style="thin">
        <color theme="1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theme="1"/>
      </left>
      <right style="thin">
        <color rgb="FFE7E6E6"/>
      </right>
      <top style="thin">
        <color theme="1"/>
      </top>
      <bottom/>
    </border>
    <border>
      <left style="thin">
        <color rgb="FFE7E6E6"/>
      </left>
      <right style="thin">
        <color rgb="FFE7E6E6"/>
      </right>
      <top style="thin">
        <color theme="1"/>
      </top>
      <bottom/>
    </border>
    <border>
      <left style="thin">
        <color rgb="FFE7E6E6"/>
      </left>
      <right style="thin">
        <color theme="1"/>
      </right>
      <top style="thin">
        <color theme="1"/>
      </top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left style="thin">
        <color theme="1"/>
      </left>
      <right style="thin">
        <color rgb="FFE7E6E6"/>
      </right>
      <top style="thin">
        <color theme="1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theme="1"/>
      </top>
      <bottom style="thin">
        <color rgb="FFE7E6E6"/>
      </bottom>
    </border>
    <border>
      <left style="thin">
        <color rgb="FFE7E6E6"/>
      </left>
      <right style="thin">
        <color theme="1"/>
      </right>
      <top style="thin">
        <color theme="1"/>
      </top>
      <bottom style="thin">
        <color rgb="FFE7E6E6"/>
      </bottom>
    </border>
    <border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n">
        <color theme="1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E7E6E6"/>
      </left>
      <right style="thin">
        <color theme="1"/>
      </right>
      <top style="thin">
        <color rgb="FFE7E6E6"/>
      </top>
      <bottom style="thin">
        <color rgb="FFE7E6E6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theme="1"/>
      </left>
      <right style="thin">
        <color rgb="FFE7E6E6"/>
      </right>
      <top style="thin">
        <color rgb="FFE7E6E6"/>
      </top>
      <bottom style="thin">
        <color theme="1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theme="1"/>
      </bottom>
    </border>
    <border>
      <left style="thin">
        <color rgb="FFE7E6E6"/>
      </left>
      <right style="thin">
        <color theme="1"/>
      </right>
      <top style="thin">
        <color rgb="FFE7E6E6"/>
      </top>
      <bottom style="thin">
        <color theme="1"/>
      </bottom>
    </border>
    <border>
      <right style="thin">
        <color rgb="FF9BC2E6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D0D0D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1" numFmtId="0" xfId="0" applyAlignment="1" applyBorder="1" applyFont="1">
      <alignment shrinkToFit="0" wrapText="1"/>
    </xf>
    <xf borderId="4" fillId="0" fontId="1" numFmtId="164" xfId="0" applyBorder="1" applyFont="1" applyNumberFormat="1"/>
    <xf borderId="4" fillId="0" fontId="1" numFmtId="0" xfId="0" applyBorder="1" applyFont="1"/>
    <xf borderId="5" fillId="2" fontId="1" numFmtId="0" xfId="0" applyAlignment="1" applyBorder="1" applyFill="1" applyFont="1">
      <alignment shrinkToFit="0" wrapText="1"/>
    </xf>
    <xf borderId="6" fillId="2" fontId="1" numFmtId="164" xfId="0" applyBorder="1" applyFont="1" applyNumberFormat="1"/>
    <xf borderId="7" fillId="0" fontId="1" numFmtId="17" xfId="0" applyAlignment="1" applyBorder="1" applyFont="1" applyNumberFormat="1">
      <alignment horizontal="center"/>
    </xf>
    <xf borderId="8" fillId="0" fontId="5" numFmtId="0" xfId="0" applyBorder="1" applyFont="1"/>
    <xf borderId="9" fillId="0" fontId="5" numFmtId="0" xfId="0" applyBorder="1" applyFont="1"/>
    <xf borderId="9" fillId="0" fontId="1" numFmtId="17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0" fillId="0" fontId="5" numFmtId="0" xfId="0" applyBorder="1" applyFont="1"/>
    <xf borderId="11" fillId="0" fontId="1" numFmtId="16" xfId="0" applyAlignment="1" applyBorder="1" applyFont="1" applyNumberFormat="1">
      <alignment horizontal="center" textRotation="90"/>
    </xf>
    <xf borderId="12" fillId="0" fontId="1" numFmtId="16" xfId="0" applyAlignment="1" applyBorder="1" applyFont="1" applyNumberFormat="1">
      <alignment horizontal="center" textRotation="90"/>
    </xf>
    <xf borderId="0" fillId="0" fontId="1" numFmtId="16" xfId="0" applyAlignment="1" applyFont="1" applyNumberFormat="1">
      <alignment horizontal="center" textRotation="90"/>
    </xf>
    <xf borderId="13" fillId="0" fontId="1" numFmtId="16" xfId="0" applyAlignment="1" applyBorder="1" applyFont="1" applyNumberFormat="1">
      <alignment horizontal="center" textRotation="90"/>
    </xf>
    <xf borderId="14" fillId="0" fontId="1" numFmtId="16" xfId="0" applyAlignment="1" applyBorder="1" applyFont="1" applyNumberFormat="1">
      <alignment horizontal="center" textRotation="90"/>
    </xf>
    <xf borderId="15" fillId="3" fontId="6" numFmtId="0" xfId="0" applyAlignment="1" applyBorder="1" applyFill="1" applyFont="1">
      <alignment horizontal="center" shrinkToFit="0" wrapText="1"/>
    </xf>
    <xf borderId="6" fillId="3" fontId="6" numFmtId="0" xfId="0" applyAlignment="1" applyBorder="1" applyFont="1">
      <alignment horizontal="center" shrinkToFit="0" wrapText="1"/>
    </xf>
    <xf borderId="6" fillId="3" fontId="6" numFmtId="164" xfId="0" applyAlignment="1" applyBorder="1" applyFont="1" applyNumberFormat="1">
      <alignment horizontal="center"/>
    </xf>
    <xf borderId="6" fillId="3" fontId="6" numFmtId="0" xfId="0" applyAlignment="1" applyBorder="1" applyFont="1">
      <alignment horizontal="center"/>
    </xf>
    <xf borderId="16" fillId="4" fontId="1" numFmtId="0" xfId="0" applyBorder="1" applyFill="1" applyFont="1"/>
    <xf borderId="17" fillId="3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9" fillId="3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 shrinkToFit="0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1" numFmtId="164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/>
    </xf>
    <xf borderId="22" fillId="5" fontId="1" numFmtId="0" xfId="0" applyAlignment="1" applyBorder="1" applyFill="1" applyFont="1">
      <alignment horizontal="center" shrinkToFit="0" vertical="center" wrapText="1"/>
    </xf>
    <xf borderId="23" fillId="0" fontId="1" numFmtId="9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5" fillId="0" fontId="1" numFmtId="0" xfId="0" applyBorder="1" applyFont="1"/>
    <xf borderId="26" fillId="6" fontId="7" numFmtId="0" xfId="0" applyBorder="1" applyFill="1" applyFont="1"/>
    <xf borderId="27" fillId="6" fontId="7" numFmtId="0" xfId="0" applyBorder="1" applyFont="1"/>
    <xf borderId="28" fillId="6" fontId="7" numFmtId="0" xfId="0" applyBorder="1" applyFont="1"/>
    <xf borderId="29" fillId="0" fontId="1" numFmtId="9" xfId="0" applyAlignment="1" applyBorder="1" applyFont="1" applyNumberFormat="1">
      <alignment horizontal="center"/>
    </xf>
    <xf borderId="30" fillId="0" fontId="1" numFmtId="0" xfId="0" applyAlignment="1" applyBorder="1" applyFont="1">
      <alignment horizontal="center"/>
    </xf>
    <xf borderId="16" fillId="7" fontId="2" numFmtId="0" xfId="0" applyAlignment="1" applyBorder="1" applyFill="1" applyFont="1">
      <alignment horizontal="center" vertical="center"/>
    </xf>
    <xf borderId="31" fillId="6" fontId="7" numFmtId="0" xfId="0" applyBorder="1" applyFont="1"/>
    <xf borderId="32" fillId="6" fontId="7" numFmtId="0" xfId="0" applyBorder="1" applyFont="1"/>
    <xf borderId="16" fillId="7" fontId="2" numFmtId="165" xfId="0" applyAlignment="1" applyBorder="1" applyFont="1" applyNumberFormat="1">
      <alignment horizontal="center" vertical="center"/>
    </xf>
    <xf borderId="16" fillId="7" fontId="2" numFmtId="0" xfId="0" applyAlignment="1" applyBorder="1" applyFont="1">
      <alignment vertical="center"/>
    </xf>
    <xf borderId="0" fillId="7" fontId="8" numFmtId="0" xfId="0" applyAlignment="1" applyFont="1">
      <alignment horizontal="right" vertical="center"/>
    </xf>
    <xf borderId="33" fillId="8" fontId="9" numFmtId="1" xfId="0" applyAlignment="1" applyBorder="1" applyFill="1" applyFont="1" applyNumberFormat="1">
      <alignment horizontal="center" readingOrder="0" vertical="center"/>
    </xf>
    <xf borderId="34" fillId="6" fontId="7" numFmtId="0" xfId="0" applyBorder="1" applyFont="1"/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vertical="center" wrapText="1"/>
    </xf>
    <xf borderId="0" fillId="0" fontId="2" numFmtId="16" xfId="0" applyAlignment="1" applyFont="1" applyNumberFormat="1">
      <alignment textRotation="90"/>
    </xf>
    <xf borderId="35" fillId="0" fontId="2" numFmtId="0" xfId="0" applyBorder="1" applyFont="1"/>
    <xf borderId="0" fillId="0" fontId="12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1"/>
    </xf>
    <xf borderId="21" fillId="0" fontId="1" numFmtId="165" xfId="0" applyAlignment="1" applyBorder="1" applyFont="1" applyNumberFormat="1">
      <alignment horizontal="center" readingOrder="0"/>
    </xf>
    <xf borderId="29" fillId="0" fontId="1" numFmtId="9" xfId="0" applyAlignment="1" applyBorder="1" applyFont="1" applyNumberFormat="1">
      <alignment horizontal="center" readingOrder="0"/>
    </xf>
    <xf borderId="25" fillId="0" fontId="1" numFmtId="0" xfId="0" applyAlignment="1" applyBorder="1" applyFont="1">
      <alignment horizontal="center"/>
    </xf>
    <xf borderId="21" fillId="0" fontId="13" numFmtId="0" xfId="0" applyAlignment="1" applyBorder="1" applyFont="1">
      <alignment horizontal="center" shrinkToFit="0" wrapText="1"/>
    </xf>
    <xf borderId="21" fillId="0" fontId="2" numFmtId="164" xfId="0" applyAlignment="1" applyBorder="1" applyFont="1" applyNumberFormat="1">
      <alignment horizontal="center" vertical="bottom"/>
    </xf>
    <xf borderId="21" fillId="0" fontId="2" numFmtId="165" xfId="0" applyAlignment="1" applyBorder="1" applyFont="1" applyNumberFormat="1">
      <alignment horizontal="center" vertical="bottom"/>
    </xf>
    <xf borderId="22" fillId="5" fontId="2" numFmtId="0" xfId="0" applyAlignment="1" applyBorder="1" applyFont="1">
      <alignment horizontal="center" shrinkToFit="0" wrapText="1"/>
    </xf>
    <xf borderId="29" fillId="0" fontId="2" numFmtId="9" xfId="0" applyAlignment="1" applyBorder="1" applyFont="1" applyNumberFormat="1">
      <alignment horizontal="center" readingOrder="0" vertical="bottom"/>
    </xf>
    <xf borderId="36" fillId="0" fontId="2" numFmtId="0" xfId="0" applyAlignment="1" applyBorder="1" applyFont="1">
      <alignment horizontal="center" vertical="bottom"/>
    </xf>
    <xf borderId="37" fillId="6" fontId="7" numFmtId="0" xfId="0" applyBorder="1" applyFont="1"/>
    <xf borderId="38" fillId="6" fontId="7" numFmtId="0" xfId="0" applyBorder="1" applyFont="1"/>
    <xf borderId="39" fillId="6" fontId="7" numFmtId="0" xfId="0" applyBorder="1" applyFont="1"/>
    <xf borderId="40" fillId="0" fontId="1" numFmtId="0" xfId="0" applyBorder="1" applyFont="1"/>
    <xf borderId="41" fillId="2" fontId="1" numFmtId="0" xfId="0" applyAlignment="1" applyBorder="1" applyFont="1">
      <alignment horizontal="center" shrinkToFit="0" wrapText="1"/>
    </xf>
    <xf borderId="42" fillId="9" fontId="1" numFmtId="0" xfId="0" applyAlignment="1" applyBorder="1" applyFill="1" applyFont="1">
      <alignment horizontal="center"/>
    </xf>
    <xf borderId="0" fillId="0" fontId="3" numFmtId="164" xfId="0" applyFont="1" applyNumberFormat="1"/>
    <xf borderId="42" fillId="10" fontId="1" numFmtId="0" xfId="0" applyAlignment="1" applyBorder="1" applyFill="1" applyFont="1">
      <alignment horizontal="center"/>
    </xf>
    <xf borderId="43" fillId="5" fontId="1" numFmtId="0" xfId="0" applyAlignment="1" applyBorder="1" applyFont="1">
      <alignment horizontal="center"/>
    </xf>
    <xf borderId="16" fillId="7" fontId="8" numFmtId="0" xfId="0" applyAlignment="1" applyBorder="1" applyFont="1">
      <alignment horizontal="center" vertical="center"/>
    </xf>
    <xf borderId="16" fillId="7" fontId="8" numFmtId="0" xfId="0" applyAlignment="1" applyBorder="1" applyFont="1">
      <alignment horizontal="left"/>
    </xf>
    <xf borderId="16" fillId="7" fontId="8" numFmtId="0" xfId="0" applyAlignment="1" applyBorder="1" applyFont="1">
      <alignment horizontal="center"/>
    </xf>
    <xf borderId="16" fillId="7" fontId="2" numFmtId="0" xfId="0" applyBorder="1" applyFont="1"/>
    <xf borderId="0" fillId="0" fontId="2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vertical="center"/>
    </xf>
    <xf borderId="0" fillId="11" fontId="3" numFmtId="0" xfId="0" applyAlignment="1" applyFill="1" applyFont="1">
      <alignment horizontal="center" vertical="center"/>
    </xf>
    <xf borderId="0" fillId="11" fontId="3" numFmtId="0" xfId="0" applyAlignment="1" applyFont="1">
      <alignment horizontal="left" vertical="center"/>
    </xf>
    <xf borderId="0" fillId="11" fontId="2" numFmtId="166" xfId="0" applyAlignment="1" applyFont="1" applyNumberFormat="1">
      <alignment horizontal="center"/>
    </xf>
    <xf borderId="0" fillId="11" fontId="2" numFmtId="0" xfId="0" applyAlignment="1" applyFont="1">
      <alignment horizontal="center" vertical="center"/>
    </xf>
    <xf borderId="0" fillId="11" fontId="2" numFmtId="0" xfId="0" applyAlignment="1" applyFont="1">
      <alignment horizontal="center" shrinkToFit="0" vertical="center" wrapText="1"/>
    </xf>
    <xf borderId="0" fillId="11" fontId="2" numFmtId="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shrinkToFit="0" vertical="center" wrapText="1"/>
    </xf>
    <xf borderId="0" fillId="11" fontId="2" numFmtId="166" xfId="0" applyAlignment="1" applyFont="1" applyNumberFormat="1">
      <alignment horizontal="center" vertical="center"/>
    </xf>
    <xf borderId="0" fillId="11" fontId="1" numFmtId="9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/>
    </xf>
    <xf borderId="0" fillId="11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44" fillId="0" fontId="2" numFmtId="166" xfId="0" applyAlignment="1" applyBorder="1" applyFont="1" applyNumberFormat="1">
      <alignment horizontal="center" vertical="center"/>
    </xf>
    <xf borderId="0" fillId="11" fontId="2" numFmtId="0" xfId="0" applyAlignment="1" applyFont="1">
      <alignment horizontal="center" readingOrder="0" shrinkToFit="0" vertical="center" wrapText="1"/>
    </xf>
    <xf borderId="0" fillId="11" fontId="3" numFmtId="9" xfId="0" applyAlignment="1" applyFont="1" applyNumberFormat="1">
      <alignment horizontal="center" vertical="center"/>
    </xf>
    <xf borderId="16" fillId="12" fontId="1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13">
    <dxf>
      <font>
        <color theme="1"/>
      </font>
      <fill>
        <patternFill patternType="solid">
          <fgColor rgb="FFFFE598"/>
          <bgColor rgb="FFFFE598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FFC7CE"/>
          <bgColor rgb="FFFFC7CE"/>
        </patternFill>
      </fill>
      <border/>
    </dxf>
    <dxf>
      <font>
        <color rgb="FFA8D08D"/>
      </font>
      <fill>
        <patternFill patternType="solid">
          <fgColor rgb="FFA8D08D"/>
          <bgColor rgb="FFA8D08D"/>
        </patternFill>
      </fill>
      <border/>
    </dxf>
    <dxf>
      <font>
        <color rgb="FF548135"/>
      </font>
      <fill>
        <patternFill patternType="solid">
          <fgColor rgb="FF548135"/>
          <bgColor rgb="FF548135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>
        <color theme="1"/>
      </font>
      <fill>
        <patternFill patternType="solid">
          <fgColor rgb="FFD9E2F3"/>
          <bgColor rgb="FFD9E2F3"/>
        </patternFill>
      </fill>
      <border/>
    </dxf>
    <dxf>
      <font>
        <b/>
        <color rgb="FFFFFFFF"/>
      </font>
      <fill>
        <patternFill patternType="solid">
          <fgColor rgb="FFFF4444"/>
          <bgColor rgb="FFFF4444"/>
        </patternFill>
      </fill>
      <border/>
    </dxf>
    <dxf>
      <font/>
      <fill>
        <patternFill patternType="solid">
          <fgColor rgb="FF548135"/>
          <bgColor rgb="FF548135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36.57"/>
    <col customWidth="1" min="4" max="4" width="12.71"/>
    <col customWidth="1" min="5" max="6" width="11.14"/>
    <col customWidth="1" min="7" max="7" width="13.57"/>
    <col customWidth="1" min="8" max="8" width="36.57"/>
    <col customWidth="1" min="9" max="9" width="9.57"/>
    <col customWidth="1" min="10" max="10" width="35.29"/>
    <col customWidth="1" min="11" max="40" width="8.71"/>
  </cols>
  <sheetData>
    <row r="1">
      <c r="A1" s="1"/>
      <c r="B1" s="2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4"/>
      <c r="AK1" s="4"/>
      <c r="AL1" s="4"/>
      <c r="AM1" s="4"/>
      <c r="AN1" s="4"/>
    </row>
    <row r="2" ht="86.25" customHeight="1">
      <c r="A2" s="1"/>
      <c r="B2" s="6" t="s">
        <v>0</v>
      </c>
      <c r="C2" s="8"/>
      <c r="D2" s="8"/>
      <c r="E2" s="8"/>
      <c r="F2" s="8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4"/>
      <c r="AK2" s="4"/>
      <c r="AL2" s="4"/>
      <c r="AM2" s="4"/>
      <c r="AN2" s="4"/>
    </row>
    <row r="3">
      <c r="A3" s="1"/>
      <c r="B3" s="10" t="s">
        <v>1</v>
      </c>
      <c r="C3" s="10" t="s">
        <v>1</v>
      </c>
      <c r="D3" s="11" t="s">
        <v>1</v>
      </c>
      <c r="E3" s="12" t="s">
        <v>1</v>
      </c>
      <c r="F3" s="12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4"/>
      <c r="AK3" s="4"/>
      <c r="AL3" s="4"/>
      <c r="AM3" s="4"/>
      <c r="AN3" s="4"/>
    </row>
    <row r="4">
      <c r="A4" s="1"/>
      <c r="B4" s="2"/>
      <c r="C4" s="2"/>
      <c r="D4" s="3"/>
      <c r="E4" s="1"/>
      <c r="F4" s="1"/>
      <c r="G4" s="1"/>
      <c r="H4" s="1"/>
      <c r="I4" s="1"/>
      <c r="J4" s="1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44.25" customHeight="1">
      <c r="A5" s="1"/>
      <c r="B5" s="2"/>
      <c r="C5" s="2"/>
      <c r="D5" s="3"/>
      <c r="E5" s="1"/>
      <c r="F5" s="1"/>
      <c r="G5" s="1"/>
      <c r="H5" s="1"/>
      <c r="I5" s="1"/>
      <c r="J5" s="1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>
      <c r="A6" s="1"/>
      <c r="B6" s="2"/>
      <c r="C6" s="13" t="s">
        <v>2</v>
      </c>
      <c r="D6" s="14">
        <v>45923.0</v>
      </c>
      <c r="E6" s="1"/>
      <c r="F6" s="1"/>
      <c r="G6" s="1"/>
      <c r="H6" s="1"/>
      <c r="I6" s="1"/>
      <c r="J6" s="1"/>
      <c r="K6" s="1"/>
      <c r="L6" s="15">
        <f>M7</f>
        <v>45930</v>
      </c>
      <c r="M6" s="16"/>
      <c r="N6" s="15">
        <f>O7</f>
        <v>45944</v>
      </c>
      <c r="O6" s="17"/>
      <c r="P6" s="17"/>
      <c r="Q6" s="16"/>
      <c r="R6" s="15">
        <f>S7</f>
        <v>45972</v>
      </c>
      <c r="S6" s="17"/>
      <c r="T6" s="17"/>
      <c r="U6" s="16"/>
      <c r="V6" s="18">
        <f>W7</f>
        <v>46000</v>
      </c>
      <c r="W6" s="17"/>
      <c r="X6" s="17"/>
      <c r="Y6" s="17"/>
      <c r="Z6" s="16"/>
      <c r="AA6" s="18">
        <f>AB7</f>
        <v>46035</v>
      </c>
      <c r="AB6" s="17"/>
      <c r="AC6" s="17"/>
      <c r="AD6" s="16"/>
      <c r="AE6" s="18">
        <f>AG7</f>
        <v>46070</v>
      </c>
      <c r="AF6" s="17"/>
      <c r="AG6" s="17"/>
      <c r="AH6" s="22"/>
      <c r="AI6" s="15">
        <f>AJ7</f>
        <v>46091</v>
      </c>
      <c r="AJ6" s="17"/>
      <c r="AK6" s="17"/>
      <c r="AL6" s="16"/>
      <c r="AM6" s="4"/>
      <c r="AN6" s="4"/>
    </row>
    <row r="7">
      <c r="A7" s="1"/>
      <c r="B7" s="2"/>
      <c r="C7" s="2"/>
      <c r="D7" s="3"/>
      <c r="E7" s="1"/>
      <c r="F7" s="1"/>
      <c r="G7" s="1"/>
      <c r="H7" s="1"/>
      <c r="I7" s="1"/>
      <c r="J7" s="1"/>
      <c r="K7" s="1"/>
      <c r="L7" s="23">
        <v>45923.0</v>
      </c>
      <c r="M7" s="24">
        <f t="shared" ref="M7:AK7" si="1">L7+7</f>
        <v>45930</v>
      </c>
      <c r="N7" s="24">
        <f t="shared" si="1"/>
        <v>45937</v>
      </c>
      <c r="O7" s="24">
        <f t="shared" si="1"/>
        <v>45944</v>
      </c>
      <c r="P7" s="24">
        <f t="shared" si="1"/>
        <v>45951</v>
      </c>
      <c r="Q7" s="24">
        <f t="shared" si="1"/>
        <v>45958</v>
      </c>
      <c r="R7" s="24">
        <f t="shared" si="1"/>
        <v>45965</v>
      </c>
      <c r="S7" s="24">
        <f t="shared" si="1"/>
        <v>45972</v>
      </c>
      <c r="T7" s="24">
        <f t="shared" si="1"/>
        <v>45979</v>
      </c>
      <c r="U7" s="24">
        <f t="shared" si="1"/>
        <v>45986</v>
      </c>
      <c r="V7" s="24">
        <f t="shared" si="1"/>
        <v>45993</v>
      </c>
      <c r="W7" s="24">
        <f t="shared" si="1"/>
        <v>46000</v>
      </c>
      <c r="X7" s="24">
        <f t="shared" si="1"/>
        <v>46007</v>
      </c>
      <c r="Y7" s="24">
        <f t="shared" si="1"/>
        <v>46014</v>
      </c>
      <c r="Z7" s="24">
        <f t="shared" si="1"/>
        <v>46021</v>
      </c>
      <c r="AA7" s="24">
        <f t="shared" si="1"/>
        <v>46028</v>
      </c>
      <c r="AB7" s="24">
        <f t="shared" si="1"/>
        <v>46035</v>
      </c>
      <c r="AC7" s="24">
        <f t="shared" si="1"/>
        <v>46042</v>
      </c>
      <c r="AD7" s="24">
        <f t="shared" si="1"/>
        <v>46049</v>
      </c>
      <c r="AE7" s="24">
        <f t="shared" si="1"/>
        <v>46056</v>
      </c>
      <c r="AF7" s="24">
        <f t="shared" si="1"/>
        <v>46063</v>
      </c>
      <c r="AG7" s="24">
        <f t="shared" si="1"/>
        <v>46070</v>
      </c>
      <c r="AH7" s="25">
        <f t="shared" si="1"/>
        <v>46077</v>
      </c>
      <c r="AI7" s="26">
        <f t="shared" si="1"/>
        <v>46084</v>
      </c>
      <c r="AJ7" s="24">
        <f t="shared" si="1"/>
        <v>46091</v>
      </c>
      <c r="AK7" s="24">
        <f t="shared" si="1"/>
        <v>46098</v>
      </c>
      <c r="AL7" s="27">
        <f>AK7+1</f>
        <v>46099</v>
      </c>
      <c r="AM7" s="4"/>
      <c r="AN7" s="4"/>
    </row>
    <row r="8">
      <c r="A8" s="1"/>
      <c r="B8" s="28" t="s">
        <v>4</v>
      </c>
      <c r="C8" s="29" t="s">
        <v>5</v>
      </c>
      <c r="D8" s="30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31" t="s">
        <v>12</v>
      </c>
      <c r="K8" s="32" t="s">
        <v>1</v>
      </c>
      <c r="L8" s="33" t="s">
        <v>1</v>
      </c>
      <c r="M8" s="34" t="s">
        <v>1</v>
      </c>
      <c r="N8" s="34" t="s">
        <v>1</v>
      </c>
      <c r="O8" s="34" t="s">
        <v>1</v>
      </c>
      <c r="P8" s="34" t="s">
        <v>1</v>
      </c>
      <c r="Q8" s="34" t="s">
        <v>1</v>
      </c>
      <c r="R8" s="34" t="s">
        <v>1</v>
      </c>
      <c r="S8" s="34" t="s">
        <v>1</v>
      </c>
      <c r="T8" s="34" t="s">
        <v>1</v>
      </c>
      <c r="U8" s="34" t="s">
        <v>1</v>
      </c>
      <c r="V8" s="34" t="s">
        <v>1</v>
      </c>
      <c r="W8" s="34" t="s">
        <v>1</v>
      </c>
      <c r="X8" s="34" t="s">
        <v>1</v>
      </c>
      <c r="Y8" s="34" t="s">
        <v>1</v>
      </c>
      <c r="Z8" s="34" t="s">
        <v>1</v>
      </c>
      <c r="AA8" s="34" t="s">
        <v>1</v>
      </c>
      <c r="AB8" s="34" t="s">
        <v>1</v>
      </c>
      <c r="AC8" s="34" t="s">
        <v>1</v>
      </c>
      <c r="AD8" s="34" t="s">
        <v>1</v>
      </c>
      <c r="AE8" s="34" t="s">
        <v>1</v>
      </c>
      <c r="AF8" s="34" t="s">
        <v>1</v>
      </c>
      <c r="AG8" s="34" t="s">
        <v>1</v>
      </c>
      <c r="AH8" s="34" t="s">
        <v>1</v>
      </c>
      <c r="AI8" s="34" t="s">
        <v>1</v>
      </c>
      <c r="AJ8" s="34" t="s">
        <v>1</v>
      </c>
      <c r="AK8" s="34" t="s">
        <v>1</v>
      </c>
      <c r="AL8" s="35" t="s">
        <v>1</v>
      </c>
      <c r="AM8" s="4"/>
      <c r="AN8" s="4"/>
    </row>
    <row r="9">
      <c r="A9" s="1"/>
      <c r="B9" s="36">
        <v>1.0</v>
      </c>
      <c r="C9" s="37" t="s">
        <v>13</v>
      </c>
      <c r="D9" s="38" t="s">
        <v>14</v>
      </c>
      <c r="E9" s="39">
        <v>45923.0</v>
      </c>
      <c r="F9" s="39">
        <v>45930.0</v>
      </c>
      <c r="G9" s="40">
        <f t="shared" ref="G9:G17" si="2">F9-E9</f>
        <v>7</v>
      </c>
      <c r="H9" s="41" t="str">
        <f t="array" ref="H9">IFS(I9 = 100%,"Completo",I9 = 0%,"Não Iniciado",AND(I9 &gt; 0%,I9 &lt; 100%),"Em Progresso")</f>
        <v>Completo</v>
      </c>
      <c r="I9" s="42">
        <v>1.0</v>
      </c>
      <c r="J9" s="43" t="s">
        <v>15</v>
      </c>
      <c r="K9" s="44" t="s">
        <v>1</v>
      </c>
      <c r="L9" s="45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7"/>
      <c r="AM9" s="4"/>
      <c r="AN9" s="4"/>
    </row>
    <row r="10">
      <c r="A10" s="1"/>
      <c r="B10" s="36">
        <v>2.0</v>
      </c>
      <c r="C10" s="37" t="s">
        <v>16</v>
      </c>
      <c r="D10" s="38" t="s">
        <v>14</v>
      </c>
      <c r="E10" s="39">
        <v>45931.0</v>
      </c>
      <c r="F10" s="39">
        <v>45948.0</v>
      </c>
      <c r="G10" s="40">
        <f t="shared" si="2"/>
        <v>17</v>
      </c>
      <c r="H10" s="41" t="str">
        <f t="array" ref="H10">IFS(I10 = 100%,"Completo",I10 = 0%,"Não Iniciado",AND(I10 &gt; 0%,I10 &lt; 100%),"Em Progresso")</f>
        <v>Completo</v>
      </c>
      <c r="I10" s="48">
        <v>1.0</v>
      </c>
      <c r="J10" s="49" t="s">
        <v>13</v>
      </c>
      <c r="K10" s="44" t="s">
        <v>1</v>
      </c>
      <c r="L10" s="51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7"/>
      <c r="AM10" s="4"/>
      <c r="AN10" s="4"/>
    </row>
    <row r="11">
      <c r="A11" s="1"/>
      <c r="B11" s="36">
        <v>3.0</v>
      </c>
      <c r="C11" s="37" t="s">
        <v>19</v>
      </c>
      <c r="D11" s="38" t="s">
        <v>14</v>
      </c>
      <c r="E11" s="39">
        <v>45950.0</v>
      </c>
      <c r="F11" s="39">
        <v>45965.0</v>
      </c>
      <c r="G11" s="40">
        <f t="shared" si="2"/>
        <v>15</v>
      </c>
      <c r="H11" s="41" t="str">
        <f t="array" ref="H11">IFS(I11 = 100%,"Completo",I11 = 0%,"Não Iniciado",AND(I11 &gt; 0%,I11 &lt; 100%),"Em Progresso")</f>
        <v>Completo</v>
      </c>
      <c r="I11" s="48">
        <v>1.0</v>
      </c>
      <c r="J11" s="49" t="s">
        <v>16</v>
      </c>
      <c r="K11" s="44" t="s">
        <v>1</v>
      </c>
      <c r="L11" s="51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7"/>
      <c r="AM11" s="4"/>
      <c r="AN11" s="4"/>
    </row>
    <row r="12">
      <c r="A12" s="1"/>
      <c r="B12" s="36">
        <v>4.0</v>
      </c>
      <c r="C12" s="37" t="s">
        <v>20</v>
      </c>
      <c r="D12" s="38" t="s">
        <v>14</v>
      </c>
      <c r="E12" s="39">
        <v>45948.0</v>
      </c>
      <c r="F12" s="39">
        <v>45969.0</v>
      </c>
      <c r="G12" s="40">
        <f t="shared" si="2"/>
        <v>21</v>
      </c>
      <c r="H12" s="41" t="str">
        <f t="array" ref="H12">IFS(I12 = 100%,"Completo",I12 = 0%,"Não Iniciado",AND(I12 &gt; 0%,I12 &lt; 100%),"Em Progresso")</f>
        <v>Completo</v>
      </c>
      <c r="I12" s="48">
        <v>1.0</v>
      </c>
      <c r="J12" s="49" t="s">
        <v>22</v>
      </c>
      <c r="K12" s="44" t="s">
        <v>1</v>
      </c>
      <c r="L12" s="51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7"/>
      <c r="AM12" s="4"/>
      <c r="AN12" s="61"/>
    </row>
    <row r="13">
      <c r="A13" s="1"/>
      <c r="B13" s="36">
        <v>5.0</v>
      </c>
      <c r="C13" s="37" t="s">
        <v>23</v>
      </c>
      <c r="D13" s="38" t="s">
        <v>14</v>
      </c>
      <c r="E13" s="39">
        <v>45969.0</v>
      </c>
      <c r="F13" s="39">
        <v>45979.0</v>
      </c>
      <c r="G13" s="40">
        <f t="shared" si="2"/>
        <v>10</v>
      </c>
      <c r="H13" s="41" t="str">
        <f t="array" ref="H13">IFS(I13 = 100%,"Completo",I13 = 0%,"Não Iniciado",AND(I13 &gt; 0%,I13 &lt; 100%),"Em Progresso")</f>
        <v>Completo</v>
      </c>
      <c r="I13" s="48">
        <v>1.0</v>
      </c>
      <c r="J13" s="49" t="s">
        <v>25</v>
      </c>
      <c r="K13" s="44" t="s">
        <v>1</v>
      </c>
      <c r="L13" s="51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7"/>
      <c r="AM13" s="4"/>
      <c r="AN13" s="4"/>
    </row>
    <row r="14">
      <c r="A14" s="1"/>
      <c r="B14" s="36">
        <v>6.0</v>
      </c>
      <c r="C14" s="64" t="s">
        <v>26</v>
      </c>
      <c r="D14" s="38" t="s">
        <v>14</v>
      </c>
      <c r="E14" s="39">
        <v>46034.0</v>
      </c>
      <c r="F14" s="39">
        <v>46037.0</v>
      </c>
      <c r="G14" s="40">
        <f t="shared" si="2"/>
        <v>3</v>
      </c>
      <c r="H14" s="41" t="str">
        <f t="array" ref="H14">IFS(I14 = 100%,"Completo",I14 = 0%,"Não Iniciado",AND(I14 &gt; 0%,I14 &lt; 100%),"Em Progresso")</f>
        <v>Completo</v>
      </c>
      <c r="I14" s="48">
        <v>1.0</v>
      </c>
      <c r="J14" s="49" t="s">
        <v>23</v>
      </c>
      <c r="K14" s="44" t="s">
        <v>1</v>
      </c>
      <c r="L14" s="51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7"/>
      <c r="AM14" s="4"/>
      <c r="AN14" s="4"/>
    </row>
    <row r="15">
      <c r="A15" s="1"/>
      <c r="B15" s="36">
        <v>7.0</v>
      </c>
      <c r="C15" s="37" t="s">
        <v>27</v>
      </c>
      <c r="D15" s="38" t="s">
        <v>14</v>
      </c>
      <c r="E15" s="39">
        <v>46040.0</v>
      </c>
      <c r="F15" s="39">
        <v>46053.0</v>
      </c>
      <c r="G15" s="40">
        <f t="shared" si="2"/>
        <v>13</v>
      </c>
      <c r="H15" s="41" t="str">
        <f t="array" ref="H15">IFS(I15 = 100%,"Completo",I15 = 0%,"Não Iniciado",AND(I15 &gt; 0%,I15 &lt; 100%),"Em Progresso")</f>
        <v>Completo</v>
      </c>
      <c r="I15" s="48">
        <v>1.0</v>
      </c>
      <c r="J15" s="49" t="s">
        <v>28</v>
      </c>
      <c r="K15" s="44" t="s">
        <v>1</v>
      </c>
      <c r="L15" s="51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7"/>
      <c r="AM15" s="4"/>
      <c r="AN15" s="4"/>
    </row>
    <row r="16">
      <c r="A16" s="1"/>
      <c r="B16" s="36">
        <v>8.0</v>
      </c>
      <c r="C16" s="64" t="s">
        <v>29</v>
      </c>
      <c r="D16" s="38" t="s">
        <v>14</v>
      </c>
      <c r="E16" s="39">
        <v>46060.0</v>
      </c>
      <c r="F16" s="65">
        <v>46260.0</v>
      </c>
      <c r="G16" s="40">
        <f t="shared" si="2"/>
        <v>200</v>
      </c>
      <c r="H16" s="41" t="str">
        <f t="array" ref="H16">IFS(I16 = 100%,"Completo",I16 = 0%,"Não Iniciado",AND(I16 &gt; 0%,I16 &lt; 100%),"Em Progresso")</f>
        <v>Em Progresso</v>
      </c>
      <c r="I16" s="66">
        <v>0.5</v>
      </c>
      <c r="J16" s="67" t="s">
        <v>23</v>
      </c>
      <c r="K16" s="44" t="s">
        <v>1</v>
      </c>
      <c r="L16" s="51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7"/>
      <c r="AM16" s="4"/>
      <c r="AN16" s="4"/>
    </row>
    <row r="17">
      <c r="A17" s="1"/>
      <c r="B17" s="36">
        <v>9.0</v>
      </c>
      <c r="C17" s="68" t="s">
        <v>30</v>
      </c>
      <c r="D17" s="69" t="s">
        <v>14</v>
      </c>
      <c r="E17" s="70">
        <v>46070.0</v>
      </c>
      <c r="F17" s="70">
        <v>46289.0</v>
      </c>
      <c r="G17" s="40">
        <f t="shared" si="2"/>
        <v>219</v>
      </c>
      <c r="H17" s="71" t="str">
        <f t="array" ref="H17">IFS(I17 = 100%,"Completo",I17 = 0%,"Não Iniciado",AND(I17 &gt; 0%,I17 &lt; 100%),"Em Progresso")</f>
        <v>Em Progresso</v>
      </c>
      <c r="I17" s="72">
        <v>0.7</v>
      </c>
      <c r="J17" s="73" t="s">
        <v>31</v>
      </c>
      <c r="K17" s="1" t="s">
        <v>1</v>
      </c>
      <c r="L17" s="74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6"/>
      <c r="AM17" s="4"/>
      <c r="AN17" s="4"/>
    </row>
    <row r="18">
      <c r="A18" s="1"/>
      <c r="B18" s="2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4"/>
      <c r="AK18" s="4"/>
      <c r="AL18" s="4"/>
      <c r="AM18" s="4"/>
      <c r="AN18" s="4"/>
    </row>
    <row r="19">
      <c r="A19" s="1"/>
      <c r="B19" s="2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77" t="s">
        <v>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4"/>
      <c r="AK19" s="4"/>
      <c r="AL19" s="4"/>
      <c r="AM19" s="4"/>
      <c r="AN19" s="4"/>
    </row>
    <row r="20">
      <c r="A20" s="1"/>
      <c r="B20" s="2"/>
      <c r="C20" s="2"/>
      <c r="D20" s="3"/>
      <c r="E20" s="1"/>
      <c r="F20" s="1"/>
      <c r="G20" s="1"/>
      <c r="H20" s="1"/>
      <c r="I20" s="1"/>
      <c r="J20" s="1"/>
      <c r="K20" s="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15.75" customHeight="1">
      <c r="A21" s="1"/>
      <c r="B21" s="2"/>
      <c r="C21" s="2"/>
      <c r="D21" s="3"/>
      <c r="E21" s="1"/>
      <c r="F21" s="1"/>
      <c r="G21" s="1"/>
      <c r="H21" s="1"/>
      <c r="I21" s="1"/>
      <c r="J21" s="1"/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15.75" customHeight="1">
      <c r="A22" s="1"/>
      <c r="B22" s="2"/>
      <c r="C22" s="2"/>
      <c r="D22" s="3"/>
      <c r="E22" s="1"/>
      <c r="F22" s="1"/>
      <c r="G22" s="1"/>
      <c r="H22" s="1"/>
      <c r="I22" s="1"/>
      <c r="J22" s="1"/>
      <c r="K22" s="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15.75" customHeight="1">
      <c r="A23" s="1"/>
      <c r="B23" s="2"/>
      <c r="C23" s="78" t="s">
        <v>10</v>
      </c>
      <c r="D23" s="3"/>
      <c r="E23" s="1"/>
      <c r="F23" s="1"/>
      <c r="G23" s="1"/>
      <c r="H23" s="1"/>
      <c r="I23" s="1"/>
      <c r="J23" s="1"/>
      <c r="K23" s="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ht="15.75" customHeight="1">
      <c r="A24" s="4"/>
      <c r="B24" s="4"/>
      <c r="C24" s="79" t="s">
        <v>32</v>
      </c>
      <c r="D24" s="8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ht="15.75" customHeight="1">
      <c r="A25" s="4"/>
      <c r="B25" s="4"/>
      <c r="C25" s="81" t="s">
        <v>33</v>
      </c>
      <c r="D25" s="8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5.75" customHeight="1">
      <c r="A26" s="4"/>
      <c r="B26" s="4"/>
      <c r="C26" s="82" t="s">
        <v>34</v>
      </c>
      <c r="D26" s="8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4"/>
      <c r="B27" s="4"/>
      <c r="C27" s="4"/>
      <c r="D27" s="8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4"/>
      <c r="B28" s="4"/>
      <c r="C28" s="4"/>
      <c r="D28" s="8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5.75" customHeight="1">
      <c r="A29" s="4"/>
      <c r="B29" s="4"/>
      <c r="C29" s="4"/>
      <c r="D29" s="8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4"/>
      <c r="B30" s="4"/>
      <c r="C30" s="4"/>
      <c r="D30" s="8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4"/>
      <c r="B31" s="4"/>
      <c r="C31" s="4"/>
      <c r="D31" s="8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5.75" customHeight="1">
      <c r="A32" s="4"/>
      <c r="B32" s="4"/>
      <c r="C32" s="4"/>
      <c r="D32" s="8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4"/>
      <c r="B33" s="4"/>
      <c r="C33" s="4"/>
      <c r="D33" s="8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4"/>
      <c r="B34" s="4"/>
      <c r="C34" s="4"/>
      <c r="D34" s="8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5.75" customHeight="1">
      <c r="A35" s="4"/>
      <c r="B35" s="4"/>
      <c r="C35" s="4"/>
      <c r="D35" s="8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4"/>
      <c r="B36" s="4"/>
      <c r="C36" s="4"/>
      <c r="D36" s="8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4"/>
      <c r="B37" s="4"/>
      <c r="C37" s="4"/>
      <c r="D37" s="8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5.75" customHeight="1">
      <c r="A38" s="4"/>
      <c r="B38" s="4"/>
      <c r="C38" s="4"/>
      <c r="D38" s="8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5.75" customHeight="1">
      <c r="A39" s="4"/>
      <c r="B39" s="4"/>
      <c r="C39" s="4"/>
      <c r="D39" s="8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5.75" customHeight="1">
      <c r="A40" s="4"/>
      <c r="B40" s="4"/>
      <c r="C40" s="4"/>
      <c r="D40" s="8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5.75" customHeight="1">
      <c r="A41" s="4"/>
      <c r="B41" s="4"/>
      <c r="C41" s="4"/>
      <c r="D41" s="8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5.75" customHeight="1">
      <c r="A42" s="4"/>
      <c r="B42" s="4"/>
      <c r="C42" s="4"/>
      <c r="D42" s="8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5.75" customHeight="1">
      <c r="A43" s="4"/>
      <c r="B43" s="4"/>
      <c r="C43" s="4"/>
      <c r="D43" s="8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5.75" customHeight="1">
      <c r="A44" s="4"/>
      <c r="B44" s="4"/>
      <c r="C44" s="4"/>
      <c r="D44" s="8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15.75" customHeight="1">
      <c r="A45" s="4"/>
      <c r="B45" s="4"/>
      <c r="C45" s="4"/>
      <c r="D45" s="8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5.75" customHeight="1">
      <c r="A46" s="4"/>
      <c r="B46" s="4"/>
      <c r="C46" s="4"/>
      <c r="D46" s="8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4"/>
      <c r="B47" s="4"/>
      <c r="C47" s="4"/>
      <c r="D47" s="8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4"/>
      <c r="B48" s="4"/>
      <c r="C48" s="4"/>
      <c r="D48" s="8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ht="15.75" customHeight="1">
      <c r="A49" s="4"/>
      <c r="B49" s="4"/>
      <c r="C49" s="4"/>
      <c r="D49" s="8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ht="15.75" customHeight="1">
      <c r="A50" s="4"/>
      <c r="B50" s="4"/>
      <c r="C50" s="4"/>
      <c r="D50" s="8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ht="15.75" customHeight="1">
      <c r="A51" s="4"/>
      <c r="B51" s="4"/>
      <c r="C51" s="4"/>
      <c r="D51" s="8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ht="15.75" customHeight="1">
      <c r="A52" s="4"/>
      <c r="B52" s="4"/>
      <c r="C52" s="4"/>
      <c r="D52" s="8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ht="15.75" customHeight="1">
      <c r="A53" s="4"/>
      <c r="B53" s="4"/>
      <c r="C53" s="4"/>
      <c r="D53" s="8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ht="15.75" customHeight="1">
      <c r="A54" s="4"/>
      <c r="B54" s="4"/>
      <c r="C54" s="4"/>
      <c r="D54" s="8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ht="15.75" customHeight="1">
      <c r="A55" s="4"/>
      <c r="B55" s="4"/>
      <c r="C55" s="4"/>
      <c r="D55" s="8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ht="15.75" customHeight="1">
      <c r="A56" s="4"/>
      <c r="B56" s="4"/>
      <c r="C56" s="4"/>
      <c r="D56" s="8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ht="15.75" customHeight="1">
      <c r="A57" s="4"/>
      <c r="B57" s="4"/>
      <c r="C57" s="4"/>
      <c r="D57" s="8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ht="15.75" customHeight="1">
      <c r="A58" s="4"/>
      <c r="B58" s="4"/>
      <c r="C58" s="4"/>
      <c r="D58" s="8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ht="15.75" customHeight="1">
      <c r="A59" s="4"/>
      <c r="B59" s="4"/>
      <c r="C59" s="4"/>
      <c r="D59" s="8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5.75" customHeight="1">
      <c r="A60" s="4"/>
      <c r="B60" s="4"/>
      <c r="C60" s="4"/>
      <c r="D60" s="8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5.75" customHeight="1">
      <c r="A61" s="4"/>
      <c r="B61" s="4"/>
      <c r="C61" s="4"/>
      <c r="D61" s="8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5.75" customHeight="1">
      <c r="A62" s="4"/>
      <c r="B62" s="4"/>
      <c r="C62" s="4"/>
      <c r="D62" s="8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5.75" customHeight="1">
      <c r="A63" s="4"/>
      <c r="B63" s="4"/>
      <c r="C63" s="4"/>
      <c r="D63" s="8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5.75" customHeight="1">
      <c r="A64" s="4"/>
      <c r="B64" s="4"/>
      <c r="C64" s="4"/>
      <c r="D64" s="8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ht="15.75" customHeight="1">
      <c r="A65" s="4"/>
      <c r="B65" s="4"/>
      <c r="C65" s="4"/>
      <c r="D65" s="8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ht="15.75" customHeight="1">
      <c r="A66" s="4"/>
      <c r="B66" s="4"/>
      <c r="C66" s="4"/>
      <c r="D66" s="8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ht="15.75" customHeight="1">
      <c r="A67" s="4"/>
      <c r="B67" s="4"/>
      <c r="C67" s="4"/>
      <c r="D67" s="8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5.75" customHeight="1">
      <c r="A68" s="4"/>
      <c r="B68" s="4"/>
      <c r="C68" s="4"/>
      <c r="D68" s="8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5.75" customHeight="1">
      <c r="A69" s="4"/>
      <c r="B69" s="4"/>
      <c r="C69" s="4"/>
      <c r="D69" s="8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5.75" customHeight="1">
      <c r="A70" s="4"/>
      <c r="B70" s="4"/>
      <c r="C70" s="4"/>
      <c r="D70" s="8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ht="15.75" customHeight="1">
      <c r="A71" s="4"/>
      <c r="B71" s="4"/>
      <c r="C71" s="4"/>
      <c r="D71" s="8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ht="15.75" customHeight="1">
      <c r="A72" s="4"/>
      <c r="B72" s="4"/>
      <c r="C72" s="4"/>
      <c r="D72" s="8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ht="15.75" customHeight="1">
      <c r="A73" s="4"/>
      <c r="B73" s="4"/>
      <c r="C73" s="4"/>
      <c r="D73" s="8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ht="15.75" customHeight="1">
      <c r="A74" s="4"/>
      <c r="B74" s="4"/>
      <c r="C74" s="4"/>
      <c r="D74" s="8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ht="15.75" customHeight="1">
      <c r="A75" s="4"/>
      <c r="B75" s="4"/>
      <c r="C75" s="4"/>
      <c r="D75" s="8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ht="15.75" customHeight="1">
      <c r="A76" s="4"/>
      <c r="B76" s="4"/>
      <c r="C76" s="4"/>
      <c r="D76" s="8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ht="15.75" customHeight="1">
      <c r="A77" s="4"/>
      <c r="B77" s="4"/>
      <c r="C77" s="4"/>
      <c r="D77" s="8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ht="15.75" customHeight="1">
      <c r="A78" s="4"/>
      <c r="B78" s="4"/>
      <c r="C78" s="4"/>
      <c r="D78" s="8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ht="15.75" customHeight="1">
      <c r="A79" s="4"/>
      <c r="B79" s="4"/>
      <c r="C79" s="4"/>
      <c r="D79" s="8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ht="15.75" customHeight="1">
      <c r="A80" s="4"/>
      <c r="B80" s="4"/>
      <c r="C80" s="4"/>
      <c r="D80" s="8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ht="15.75" customHeight="1">
      <c r="A81" s="4"/>
      <c r="B81" s="4"/>
      <c r="C81" s="4"/>
      <c r="D81" s="8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ht="15.75" customHeight="1">
      <c r="A82" s="4"/>
      <c r="B82" s="4"/>
      <c r="C82" s="4"/>
      <c r="D82" s="8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ht="15.75" customHeight="1">
      <c r="A83" s="4"/>
      <c r="B83" s="4"/>
      <c r="C83" s="4"/>
      <c r="D83" s="8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ht="15.75" customHeight="1">
      <c r="A84" s="4"/>
      <c r="B84" s="4"/>
      <c r="C84" s="4"/>
      <c r="D84" s="8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ht="15.75" customHeight="1">
      <c r="A85" s="4"/>
      <c r="B85" s="4"/>
      <c r="C85" s="4"/>
      <c r="D85" s="8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ht="15.75" customHeight="1">
      <c r="A86" s="4"/>
      <c r="B86" s="4"/>
      <c r="C86" s="4"/>
      <c r="D86" s="8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ht="15.75" customHeight="1">
      <c r="A87" s="4"/>
      <c r="B87" s="4"/>
      <c r="C87" s="4"/>
      <c r="D87" s="8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ht="15.75" customHeight="1">
      <c r="A88" s="4"/>
      <c r="B88" s="4"/>
      <c r="C88" s="4"/>
      <c r="D88" s="8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ht="15.75" customHeight="1">
      <c r="A89" s="4"/>
      <c r="B89" s="4"/>
      <c r="C89" s="4"/>
      <c r="D89" s="8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ht="15.75" customHeight="1">
      <c r="A90" s="4"/>
      <c r="B90" s="4"/>
      <c r="C90" s="4"/>
      <c r="D90" s="8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ht="15.75" customHeight="1">
      <c r="A91" s="4"/>
      <c r="B91" s="4"/>
      <c r="C91" s="4"/>
      <c r="D91" s="8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ht="15.75" customHeight="1">
      <c r="A92" s="4"/>
      <c r="B92" s="4"/>
      <c r="C92" s="4"/>
      <c r="D92" s="8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ht="15.75" customHeight="1">
      <c r="A93" s="4"/>
      <c r="B93" s="4"/>
      <c r="C93" s="4"/>
      <c r="D93" s="8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ht="15.75" customHeight="1">
      <c r="A94" s="4"/>
      <c r="B94" s="4"/>
      <c r="C94" s="4"/>
      <c r="D94" s="8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ht="15.75" customHeight="1">
      <c r="A95" s="4"/>
      <c r="B95" s="4"/>
      <c r="C95" s="4"/>
      <c r="D95" s="8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ht="15.75" customHeight="1">
      <c r="A96" s="4"/>
      <c r="B96" s="4"/>
      <c r="C96" s="4"/>
      <c r="D96" s="8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5.75" customHeight="1">
      <c r="A97" s="4"/>
      <c r="B97" s="4"/>
      <c r="C97" s="4"/>
      <c r="D97" s="8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5.75" customHeight="1">
      <c r="A98" s="4"/>
      <c r="B98" s="4"/>
      <c r="C98" s="4"/>
      <c r="D98" s="8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5.75" customHeight="1">
      <c r="A99" s="4"/>
      <c r="B99" s="4"/>
      <c r="C99" s="4"/>
      <c r="D99" s="8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5.75" customHeight="1">
      <c r="A100" s="4"/>
      <c r="B100" s="4"/>
      <c r="C100" s="4"/>
      <c r="D100" s="8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5.75" customHeight="1">
      <c r="A101" s="4"/>
      <c r="B101" s="4"/>
      <c r="C101" s="4"/>
      <c r="D101" s="8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5.75" customHeight="1">
      <c r="A102" s="4"/>
      <c r="B102" s="4"/>
      <c r="C102" s="4"/>
      <c r="D102" s="8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4"/>
      <c r="B103" s="4"/>
      <c r="C103" s="4"/>
      <c r="D103" s="8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4"/>
      <c r="B104" s="4"/>
      <c r="C104" s="4"/>
      <c r="D104" s="8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4"/>
      <c r="B105" s="4"/>
      <c r="C105" s="4"/>
      <c r="D105" s="8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4"/>
      <c r="B106" s="4"/>
      <c r="C106" s="4"/>
      <c r="D106" s="8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5.75" customHeight="1">
      <c r="A107" s="4"/>
      <c r="B107" s="4"/>
      <c r="C107" s="4"/>
      <c r="D107" s="8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5.75" customHeight="1">
      <c r="A108" s="4"/>
      <c r="B108" s="4"/>
      <c r="C108" s="4"/>
      <c r="D108" s="8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5.75" customHeight="1">
      <c r="A109" s="4"/>
      <c r="B109" s="4"/>
      <c r="C109" s="4"/>
      <c r="D109" s="8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5.75" customHeight="1">
      <c r="A110" s="4"/>
      <c r="B110" s="4"/>
      <c r="C110" s="4"/>
      <c r="D110" s="8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5.75" customHeight="1">
      <c r="A111" s="4"/>
      <c r="B111" s="4"/>
      <c r="C111" s="4"/>
      <c r="D111" s="8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5.75" customHeight="1">
      <c r="A112" s="4"/>
      <c r="B112" s="4"/>
      <c r="C112" s="4"/>
      <c r="D112" s="8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5.75" customHeight="1">
      <c r="A113" s="4"/>
      <c r="B113" s="4"/>
      <c r="C113" s="4"/>
      <c r="D113" s="8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4"/>
      <c r="B114" s="4"/>
      <c r="C114" s="4"/>
      <c r="D114" s="8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4"/>
      <c r="B115" s="4"/>
      <c r="C115" s="4"/>
      <c r="D115" s="8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ht="15.75" customHeight="1">
      <c r="A116" s="4"/>
      <c r="B116" s="4"/>
      <c r="C116" s="4"/>
      <c r="D116" s="8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ht="15.75" customHeight="1">
      <c r="A117" s="4"/>
      <c r="B117" s="4"/>
      <c r="C117" s="4"/>
      <c r="D117" s="8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ht="15.75" customHeight="1">
      <c r="A118" s="4"/>
      <c r="B118" s="4"/>
      <c r="C118" s="4"/>
      <c r="D118" s="8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ht="15.75" customHeight="1">
      <c r="A119" s="4"/>
      <c r="B119" s="4"/>
      <c r="C119" s="4"/>
      <c r="D119" s="8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ht="15.75" customHeight="1">
      <c r="A120" s="4"/>
      <c r="B120" s="4"/>
      <c r="C120" s="4"/>
      <c r="D120" s="8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ht="15.75" customHeight="1">
      <c r="A121" s="4"/>
      <c r="B121" s="4"/>
      <c r="C121" s="4"/>
      <c r="D121" s="8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ht="15.75" customHeight="1">
      <c r="A122" s="4"/>
      <c r="B122" s="4"/>
      <c r="C122" s="4"/>
      <c r="D122" s="8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ht="15.75" customHeight="1">
      <c r="A123" s="4"/>
      <c r="B123" s="4"/>
      <c r="C123" s="4"/>
      <c r="D123" s="8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ht="15.75" customHeight="1">
      <c r="A124" s="4"/>
      <c r="B124" s="4"/>
      <c r="C124" s="4"/>
      <c r="D124" s="8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ht="15.75" customHeight="1">
      <c r="A125" s="4"/>
      <c r="B125" s="4"/>
      <c r="C125" s="4"/>
      <c r="D125" s="8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ht="15.75" customHeight="1">
      <c r="A126" s="4"/>
      <c r="B126" s="4"/>
      <c r="C126" s="4"/>
      <c r="D126" s="8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ht="15.75" customHeight="1">
      <c r="A127" s="4"/>
      <c r="B127" s="4"/>
      <c r="C127" s="4"/>
      <c r="D127" s="8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ht="15.75" customHeight="1">
      <c r="A128" s="4"/>
      <c r="B128" s="4"/>
      <c r="C128" s="4"/>
      <c r="D128" s="8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ht="15.75" customHeight="1">
      <c r="A129" s="4"/>
      <c r="B129" s="4"/>
      <c r="C129" s="4"/>
      <c r="D129" s="8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ht="15.75" customHeight="1">
      <c r="A130" s="4"/>
      <c r="B130" s="4"/>
      <c r="C130" s="4"/>
      <c r="D130" s="8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ht="15.75" customHeight="1">
      <c r="A131" s="4"/>
      <c r="B131" s="4"/>
      <c r="C131" s="4"/>
      <c r="D131" s="8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ht="15.75" customHeight="1">
      <c r="A132" s="4"/>
      <c r="B132" s="4"/>
      <c r="C132" s="4"/>
      <c r="D132" s="8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ht="15.75" customHeight="1">
      <c r="A133" s="4"/>
      <c r="B133" s="4"/>
      <c r="C133" s="4"/>
      <c r="D133" s="8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ht="15.75" customHeight="1">
      <c r="A134" s="4"/>
      <c r="B134" s="4"/>
      <c r="C134" s="4"/>
      <c r="D134" s="8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ht="15.75" customHeight="1">
      <c r="A135" s="4"/>
      <c r="B135" s="4"/>
      <c r="C135" s="4"/>
      <c r="D135" s="8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ht="15.75" customHeight="1">
      <c r="A136" s="4"/>
      <c r="B136" s="4"/>
      <c r="C136" s="4"/>
      <c r="D136" s="8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5.75" customHeight="1">
      <c r="A137" s="4"/>
      <c r="B137" s="4"/>
      <c r="C137" s="4"/>
      <c r="D137" s="8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ht="15.75" customHeight="1">
      <c r="A138" s="4"/>
      <c r="B138" s="4"/>
      <c r="C138" s="4"/>
      <c r="D138" s="8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ht="15.75" customHeight="1">
      <c r="A139" s="4"/>
      <c r="B139" s="4"/>
      <c r="C139" s="4"/>
      <c r="D139" s="8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ht="15.75" customHeight="1">
      <c r="A140" s="4"/>
      <c r="B140" s="4"/>
      <c r="C140" s="4"/>
      <c r="D140" s="8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ht="15.75" customHeight="1">
      <c r="A141" s="4"/>
      <c r="B141" s="4"/>
      <c r="C141" s="4"/>
      <c r="D141" s="8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ht="15.75" customHeight="1">
      <c r="A142" s="4"/>
      <c r="B142" s="4"/>
      <c r="C142" s="4"/>
      <c r="D142" s="8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ht="15.75" customHeight="1">
      <c r="A143" s="4"/>
      <c r="B143" s="4"/>
      <c r="C143" s="4"/>
      <c r="D143" s="8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ht="15.75" customHeight="1">
      <c r="A144" s="4"/>
      <c r="B144" s="4"/>
      <c r="C144" s="4"/>
      <c r="D144" s="8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ht="15.75" customHeight="1">
      <c r="A145" s="4"/>
      <c r="B145" s="4"/>
      <c r="C145" s="4"/>
      <c r="D145" s="8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ht="15.75" customHeight="1">
      <c r="A146" s="4"/>
      <c r="B146" s="4"/>
      <c r="C146" s="4"/>
      <c r="D146" s="8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ht="15.75" customHeight="1">
      <c r="A147" s="4"/>
      <c r="B147" s="4"/>
      <c r="C147" s="4"/>
      <c r="D147" s="8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5.75" customHeight="1">
      <c r="A148" s="4"/>
      <c r="B148" s="4"/>
      <c r="C148" s="4"/>
      <c r="D148" s="8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5.75" customHeight="1">
      <c r="A149" s="4"/>
      <c r="B149" s="4"/>
      <c r="C149" s="4"/>
      <c r="D149" s="8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5.75" customHeight="1">
      <c r="A150" s="4"/>
      <c r="B150" s="4"/>
      <c r="C150" s="4"/>
      <c r="D150" s="8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5.75" customHeight="1">
      <c r="A151" s="4"/>
      <c r="B151" s="4"/>
      <c r="C151" s="4"/>
      <c r="D151" s="8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5.75" customHeight="1">
      <c r="A152" s="4"/>
      <c r="B152" s="4"/>
      <c r="C152" s="4"/>
      <c r="D152" s="8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5.75" customHeight="1">
      <c r="A153" s="4"/>
      <c r="B153" s="4"/>
      <c r="C153" s="4"/>
      <c r="D153" s="8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5.75" customHeight="1">
      <c r="A154" s="4"/>
      <c r="B154" s="4"/>
      <c r="C154" s="4"/>
      <c r="D154" s="8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5.75" customHeight="1">
      <c r="A155" s="4"/>
      <c r="B155" s="4"/>
      <c r="C155" s="4"/>
      <c r="D155" s="8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5.75" customHeight="1">
      <c r="A156" s="4"/>
      <c r="B156" s="4"/>
      <c r="C156" s="4"/>
      <c r="D156" s="8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5.75" customHeight="1">
      <c r="A157" s="4"/>
      <c r="B157" s="4"/>
      <c r="C157" s="4"/>
      <c r="D157" s="8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5.75" customHeight="1">
      <c r="A158" s="4"/>
      <c r="B158" s="4"/>
      <c r="C158" s="4"/>
      <c r="D158" s="8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5.75" customHeight="1">
      <c r="A159" s="4"/>
      <c r="B159" s="4"/>
      <c r="C159" s="4"/>
      <c r="D159" s="8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4"/>
      <c r="B160" s="4"/>
      <c r="C160" s="4"/>
      <c r="D160" s="8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4"/>
      <c r="B161" s="4"/>
      <c r="C161" s="4"/>
      <c r="D161" s="8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4"/>
      <c r="B162" s="4"/>
      <c r="C162" s="4"/>
      <c r="D162" s="8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4"/>
      <c r="B163" s="4"/>
      <c r="C163" s="4"/>
      <c r="D163" s="8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4"/>
      <c r="B164" s="4"/>
      <c r="C164" s="4"/>
      <c r="D164" s="8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4"/>
      <c r="B165" s="4"/>
      <c r="C165" s="4"/>
      <c r="D165" s="8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4"/>
      <c r="B166" s="4"/>
      <c r="C166" s="4"/>
      <c r="D166" s="8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5.75" customHeight="1">
      <c r="A167" s="4"/>
      <c r="B167" s="4"/>
      <c r="C167" s="4"/>
      <c r="D167" s="8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5.75" customHeight="1">
      <c r="A168" s="4"/>
      <c r="B168" s="4"/>
      <c r="C168" s="4"/>
      <c r="D168" s="8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5.75" customHeight="1">
      <c r="A169" s="4"/>
      <c r="B169" s="4"/>
      <c r="C169" s="4"/>
      <c r="D169" s="8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ht="15.75" customHeight="1">
      <c r="A170" s="4"/>
      <c r="B170" s="4"/>
      <c r="C170" s="4"/>
      <c r="D170" s="8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ht="15.75" customHeight="1">
      <c r="A171" s="4"/>
      <c r="B171" s="4"/>
      <c r="C171" s="4"/>
      <c r="D171" s="8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ht="15.75" customHeight="1">
      <c r="A172" s="4"/>
      <c r="B172" s="4"/>
      <c r="C172" s="4"/>
      <c r="D172" s="8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ht="15.75" customHeight="1">
      <c r="A173" s="4"/>
      <c r="B173" s="4"/>
      <c r="C173" s="4"/>
      <c r="D173" s="8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ht="15.75" customHeight="1">
      <c r="A174" s="4"/>
      <c r="B174" s="4"/>
      <c r="C174" s="4"/>
      <c r="D174" s="8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ht="15.75" customHeight="1">
      <c r="A175" s="4"/>
      <c r="B175" s="4"/>
      <c r="C175" s="4"/>
      <c r="D175" s="8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ht="15.75" customHeight="1">
      <c r="A176" s="4"/>
      <c r="B176" s="4"/>
      <c r="C176" s="4"/>
      <c r="D176" s="8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ht="15.75" customHeight="1">
      <c r="A177" s="4"/>
      <c r="B177" s="4"/>
      <c r="C177" s="4"/>
      <c r="D177" s="8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ht="15.75" customHeight="1">
      <c r="A178" s="4"/>
      <c r="B178" s="4"/>
      <c r="C178" s="4"/>
      <c r="D178" s="8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ht="15.75" customHeight="1">
      <c r="A179" s="4"/>
      <c r="B179" s="4"/>
      <c r="C179" s="4"/>
      <c r="D179" s="8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ht="15.75" customHeight="1">
      <c r="A180" s="4"/>
      <c r="B180" s="4"/>
      <c r="C180" s="4"/>
      <c r="D180" s="8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ht="15.75" customHeight="1">
      <c r="A181" s="4"/>
      <c r="B181" s="4"/>
      <c r="C181" s="4"/>
      <c r="D181" s="8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ht="15.75" customHeight="1">
      <c r="A182" s="4"/>
      <c r="B182" s="4"/>
      <c r="C182" s="4"/>
      <c r="D182" s="8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5.75" customHeight="1">
      <c r="A183" s="4"/>
      <c r="B183" s="4"/>
      <c r="C183" s="4"/>
      <c r="D183" s="8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5.75" customHeight="1">
      <c r="A184" s="4"/>
      <c r="B184" s="4"/>
      <c r="C184" s="4"/>
      <c r="D184" s="8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5.75" customHeight="1">
      <c r="A185" s="4"/>
      <c r="B185" s="4"/>
      <c r="C185" s="4"/>
      <c r="D185" s="8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ht="15.75" customHeight="1">
      <c r="A186" s="4"/>
      <c r="B186" s="4"/>
      <c r="C186" s="4"/>
      <c r="D186" s="8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ht="15.75" customHeight="1">
      <c r="A187" s="4"/>
      <c r="B187" s="4"/>
      <c r="C187" s="4"/>
      <c r="D187" s="8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ht="15.75" customHeight="1">
      <c r="A188" s="4"/>
      <c r="B188" s="4"/>
      <c r="C188" s="4"/>
      <c r="D188" s="8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ht="15.75" customHeight="1">
      <c r="A189" s="4"/>
      <c r="B189" s="4"/>
      <c r="C189" s="4"/>
      <c r="D189" s="8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ht="15.75" customHeight="1">
      <c r="A190" s="4"/>
      <c r="B190" s="4"/>
      <c r="C190" s="4"/>
      <c r="D190" s="8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ht="15.75" customHeight="1">
      <c r="A191" s="4"/>
      <c r="B191" s="4"/>
      <c r="C191" s="4"/>
      <c r="D191" s="8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ht="15.75" customHeight="1">
      <c r="A192" s="4"/>
      <c r="B192" s="4"/>
      <c r="C192" s="4"/>
      <c r="D192" s="8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ht="15.75" customHeight="1">
      <c r="A193" s="4"/>
      <c r="B193" s="4"/>
      <c r="C193" s="4"/>
      <c r="D193" s="8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ht="15.75" customHeight="1">
      <c r="A194" s="4"/>
      <c r="B194" s="4"/>
      <c r="C194" s="4"/>
      <c r="D194" s="8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ht="15.75" customHeight="1">
      <c r="A195" s="4"/>
      <c r="B195" s="4"/>
      <c r="C195" s="4"/>
      <c r="D195" s="8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ht="15.75" customHeight="1">
      <c r="A196" s="4"/>
      <c r="B196" s="4"/>
      <c r="C196" s="4"/>
      <c r="D196" s="8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ht="15.75" customHeight="1">
      <c r="A197" s="4"/>
      <c r="B197" s="4"/>
      <c r="C197" s="4"/>
      <c r="D197" s="8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ht="15.75" customHeight="1">
      <c r="A198" s="4"/>
      <c r="B198" s="4"/>
      <c r="C198" s="4"/>
      <c r="D198" s="8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A199" s="4"/>
      <c r="B199" s="4"/>
      <c r="C199" s="4"/>
      <c r="D199" s="8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A200" s="4"/>
      <c r="B200" s="4"/>
      <c r="C200" s="4"/>
      <c r="D200" s="8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A201" s="4"/>
      <c r="B201" s="4"/>
      <c r="C201" s="4"/>
      <c r="D201" s="8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A202" s="4"/>
      <c r="B202" s="4"/>
      <c r="C202" s="4"/>
      <c r="D202" s="8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A203" s="4"/>
      <c r="B203" s="4"/>
      <c r="C203" s="4"/>
      <c r="D203" s="8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A204" s="4"/>
      <c r="B204" s="4"/>
      <c r="C204" s="4"/>
      <c r="D204" s="8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A205" s="4"/>
      <c r="B205" s="4"/>
      <c r="C205" s="4"/>
      <c r="D205" s="8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A206" s="4"/>
      <c r="B206" s="4"/>
      <c r="C206" s="4"/>
      <c r="D206" s="8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A207" s="4"/>
      <c r="B207" s="4"/>
      <c r="C207" s="4"/>
      <c r="D207" s="8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A208" s="4"/>
      <c r="B208" s="4"/>
      <c r="C208" s="4"/>
      <c r="D208" s="8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A209" s="4"/>
      <c r="B209" s="4"/>
      <c r="C209" s="4"/>
      <c r="D209" s="8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A210" s="4"/>
      <c r="B210" s="4"/>
      <c r="C210" s="4"/>
      <c r="D210" s="8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A211" s="4"/>
      <c r="B211" s="4"/>
      <c r="C211" s="4"/>
      <c r="D211" s="8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A212" s="4"/>
      <c r="B212" s="4"/>
      <c r="C212" s="4"/>
      <c r="D212" s="8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A213" s="4"/>
      <c r="B213" s="4"/>
      <c r="C213" s="4"/>
      <c r="D213" s="8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A214" s="4"/>
      <c r="B214" s="4"/>
      <c r="C214" s="4"/>
      <c r="D214" s="8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A215" s="4"/>
      <c r="B215" s="4"/>
      <c r="C215" s="4"/>
      <c r="D215" s="8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A216" s="4"/>
      <c r="B216" s="4"/>
      <c r="C216" s="4"/>
      <c r="D216" s="8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A217" s="4"/>
      <c r="B217" s="4"/>
      <c r="C217" s="4"/>
      <c r="D217" s="8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ht="15.75" customHeight="1">
      <c r="A218" s="4"/>
      <c r="B218" s="4"/>
      <c r="C218" s="4"/>
      <c r="D218" s="8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ht="15.75" customHeight="1">
      <c r="A219" s="4"/>
      <c r="B219" s="4"/>
      <c r="C219" s="4"/>
      <c r="D219" s="8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ht="15.75" customHeight="1">
      <c r="A220" s="4"/>
      <c r="B220" s="4"/>
      <c r="C220" s="4"/>
      <c r="D220" s="8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ht="15.75" customHeight="1">
      <c r="A221" s="4"/>
      <c r="B221" s="4"/>
      <c r="C221" s="4"/>
      <c r="D221" s="8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ht="15.75" customHeight="1">
      <c r="A222" s="4"/>
      <c r="B222" s="4"/>
      <c r="C222" s="4"/>
      <c r="D222" s="8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ht="15.75" customHeight="1">
      <c r="A223" s="4"/>
      <c r="B223" s="4"/>
      <c r="C223" s="4"/>
      <c r="D223" s="8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ht="15.75" customHeight="1">
      <c r="A224" s="4"/>
      <c r="B224" s="4"/>
      <c r="C224" s="4"/>
      <c r="D224" s="8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ht="15.75" customHeight="1">
      <c r="A225" s="4"/>
      <c r="B225" s="4"/>
      <c r="C225" s="4"/>
      <c r="D225" s="8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ht="15.75" customHeight="1">
      <c r="A226" s="4"/>
      <c r="B226" s="4"/>
      <c r="C226" s="4"/>
      <c r="D226" s="8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8">
    <mergeCell ref="B2:G2"/>
    <mergeCell ref="L6:M6"/>
    <mergeCell ref="N6:Q6"/>
    <mergeCell ref="R6:U6"/>
    <mergeCell ref="V6:Z6"/>
    <mergeCell ref="AA6:AD6"/>
    <mergeCell ref="AE6:AH6"/>
    <mergeCell ref="AI6:AL6"/>
  </mergeCells>
  <conditionalFormatting sqref="H9:H17">
    <cfRule type="containsText" dxfId="0" priority="1" stopIfTrue="1" operator="containsText" text="Em Progresso">
      <formula>NOT(ISERROR(SEARCH(("Em Progresso"),(H9))))</formula>
    </cfRule>
  </conditionalFormatting>
  <conditionalFormatting sqref="H9:H17">
    <cfRule type="containsText" dxfId="1" priority="2" stopIfTrue="1" operator="containsText" text="Completo">
      <formula>NOT(ISERROR(SEARCH(("Completo"),(H9))))</formula>
    </cfRule>
  </conditionalFormatting>
  <conditionalFormatting sqref="H9:H17">
    <cfRule type="containsText" dxfId="2" priority="3" stopIfTrue="1" operator="containsText" text="Não Iniciado">
      <formula>NOT(ISERROR(SEARCH(("Não Iniciado"),(H9))))</formula>
    </cfRule>
  </conditionalFormatting>
  <conditionalFormatting sqref="L9:AL17">
    <cfRule type="expression" dxfId="3" priority="4" stopIfTrue="1">
      <formula>AND(L$7&gt;=$E9,L$7&lt;=$F9)</formula>
    </cfRule>
  </conditionalFormatting>
  <conditionalFormatting sqref="L9:AL17">
    <cfRule type="expression" dxfId="4" priority="5" stopIfTrue="1">
      <formula>AND(    $I9&gt;0,    L$7 &gt;= $E9,    L$7 &lt;= $E9 + ($F9 - $E9) * $I9)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3" width="27.57"/>
    <col customWidth="1" min="4" max="4" width="65.14"/>
    <col customWidth="1" min="5" max="5" width="20.14"/>
    <col customWidth="1" min="6" max="6" width="12.29"/>
    <col customWidth="1" min="7" max="7" width="13.14"/>
    <col customWidth="1" min="8" max="8" width="15.0"/>
    <col customWidth="1" min="9" max="9" width="20.0"/>
    <col customWidth="1" min="10" max="10" width="11.71"/>
    <col customWidth="1" min="11" max="11" width="64.29"/>
    <col customWidth="1" min="12" max="12" width="9.71"/>
    <col customWidth="1" min="13" max="242" width="15.71"/>
  </cols>
  <sheetData>
    <row r="1">
      <c r="A1" s="4"/>
      <c r="B1" s="4"/>
      <c r="C1" s="5"/>
      <c r="D1" s="7"/>
      <c r="E1" s="5"/>
      <c r="F1" s="5"/>
      <c r="G1" s="5"/>
      <c r="H1" s="4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</row>
    <row r="2">
      <c r="A2" s="19" t="s">
        <v>3</v>
      </c>
      <c r="B2" s="8"/>
      <c r="C2" s="8"/>
      <c r="D2" s="9"/>
      <c r="E2" s="20"/>
      <c r="F2" s="20"/>
      <c r="G2" s="20"/>
      <c r="H2" s="21"/>
      <c r="I2" s="20"/>
      <c r="J2" s="21"/>
      <c r="K2" s="2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</row>
    <row r="3">
      <c r="A3" s="4"/>
      <c r="B3" s="4"/>
      <c r="C3" s="20"/>
      <c r="D3" s="7"/>
      <c r="E3" s="20"/>
      <c r="F3" s="20"/>
      <c r="G3" s="20"/>
      <c r="H3" s="21"/>
      <c r="I3" s="20"/>
      <c r="J3" s="21"/>
      <c r="K3" s="2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</row>
    <row r="4">
      <c r="A4" s="4"/>
      <c r="B4" s="4"/>
      <c r="C4" s="20"/>
      <c r="D4" s="7"/>
      <c r="E4" s="20"/>
      <c r="F4" s="20"/>
      <c r="G4" s="20"/>
      <c r="H4" s="21"/>
      <c r="I4" s="20"/>
      <c r="J4" s="21"/>
      <c r="K4" s="2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</row>
    <row r="5" ht="20.25" customHeight="1">
      <c r="A5" s="4"/>
      <c r="B5" s="4"/>
      <c r="C5" s="5"/>
      <c r="D5" s="7"/>
      <c r="E5" s="50" t="s">
        <v>2</v>
      </c>
      <c r="F5" s="53">
        <v>46060.0</v>
      </c>
      <c r="G5" s="5"/>
      <c r="H5" s="54" t="s">
        <v>17</v>
      </c>
      <c r="I5" s="53">
        <v>46289.0</v>
      </c>
      <c r="J5" s="4"/>
      <c r="K5" s="5"/>
      <c r="L5" s="4"/>
      <c r="M5" s="55" t="s">
        <v>18</v>
      </c>
      <c r="N5" s="56">
        <v>1.0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</row>
    <row r="6" ht="86.25" customHeight="1">
      <c r="A6" s="4"/>
      <c r="B6" s="4"/>
      <c r="C6" s="5"/>
      <c r="D6" s="58" t="s">
        <v>21</v>
      </c>
      <c r="E6" s="5"/>
      <c r="F6" s="5"/>
      <c r="G6" s="5"/>
      <c r="H6" s="4"/>
      <c r="I6" s="5"/>
      <c r="J6" s="4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59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</row>
    <row r="7" ht="25.5" customHeight="1">
      <c r="A7" s="62" t="s">
        <v>24</v>
      </c>
      <c r="F7" s="63"/>
      <c r="G7" s="63"/>
      <c r="H7" s="4"/>
      <c r="I7" s="5"/>
      <c r="J7" s="4"/>
      <c r="K7" s="5"/>
      <c r="L7" s="4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59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</row>
    <row r="8" ht="41.25" customHeight="1">
      <c r="A8" s="4"/>
      <c r="B8" s="4"/>
      <c r="C8" s="5"/>
      <c r="D8" s="7"/>
      <c r="E8" s="5"/>
      <c r="F8" s="5"/>
      <c r="G8" s="5"/>
      <c r="H8" s="4"/>
      <c r="I8" s="5"/>
      <c r="J8" s="4"/>
      <c r="K8" s="5"/>
      <c r="L8" s="4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</row>
    <row r="9" ht="41.25" customHeight="1">
      <c r="A9" s="4"/>
      <c r="B9" s="4"/>
      <c r="C9" s="5"/>
      <c r="D9" s="7"/>
      <c r="E9" s="5"/>
      <c r="F9" s="5"/>
      <c r="G9" s="5"/>
      <c r="H9" s="4"/>
      <c r="I9" s="5"/>
      <c r="J9" s="4"/>
      <c r="K9" s="5"/>
      <c r="L9" s="4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</row>
    <row r="10" ht="41.25" customHeight="1">
      <c r="A10" s="4"/>
      <c r="B10" s="4"/>
      <c r="C10" s="5"/>
      <c r="D10" s="7"/>
      <c r="E10" s="5"/>
      <c r="F10" s="5"/>
      <c r="G10" s="5"/>
      <c r="H10" s="4"/>
      <c r="I10" s="5"/>
      <c r="J10" s="4"/>
      <c r="K10" s="5"/>
      <c r="L10" s="4"/>
      <c r="M10" s="60">
        <f>F5</f>
        <v>46060</v>
      </c>
      <c r="N10" s="60">
        <f t="shared" ref="N10:IH10" si="1">M10+$N$5</f>
        <v>46061</v>
      </c>
      <c r="O10" s="60">
        <f t="shared" si="1"/>
        <v>46062</v>
      </c>
      <c r="P10" s="60">
        <f t="shared" si="1"/>
        <v>46063</v>
      </c>
      <c r="Q10" s="60">
        <f t="shared" si="1"/>
        <v>46064</v>
      </c>
      <c r="R10" s="60">
        <f t="shared" si="1"/>
        <v>46065</v>
      </c>
      <c r="S10" s="60">
        <f t="shared" si="1"/>
        <v>46066</v>
      </c>
      <c r="T10" s="60">
        <f t="shared" si="1"/>
        <v>46067</v>
      </c>
      <c r="U10" s="60">
        <f t="shared" si="1"/>
        <v>46068</v>
      </c>
      <c r="V10" s="60">
        <f t="shared" si="1"/>
        <v>46069</v>
      </c>
      <c r="W10" s="60">
        <f t="shared" si="1"/>
        <v>46070</v>
      </c>
      <c r="X10" s="60">
        <f t="shared" si="1"/>
        <v>46071</v>
      </c>
      <c r="Y10" s="60">
        <f t="shared" si="1"/>
        <v>46072</v>
      </c>
      <c r="Z10" s="60">
        <f t="shared" si="1"/>
        <v>46073</v>
      </c>
      <c r="AA10" s="60">
        <f t="shared" si="1"/>
        <v>46074</v>
      </c>
      <c r="AB10" s="60">
        <f t="shared" si="1"/>
        <v>46075</v>
      </c>
      <c r="AC10" s="60">
        <f t="shared" si="1"/>
        <v>46076</v>
      </c>
      <c r="AD10" s="60">
        <f t="shared" si="1"/>
        <v>46077</v>
      </c>
      <c r="AE10" s="60">
        <f t="shared" si="1"/>
        <v>46078</v>
      </c>
      <c r="AF10" s="60">
        <f t="shared" si="1"/>
        <v>46079</v>
      </c>
      <c r="AG10" s="60">
        <f t="shared" si="1"/>
        <v>46080</v>
      </c>
      <c r="AH10" s="60">
        <f t="shared" si="1"/>
        <v>46081</v>
      </c>
      <c r="AI10" s="60">
        <f t="shared" si="1"/>
        <v>46082</v>
      </c>
      <c r="AJ10" s="60">
        <f t="shared" si="1"/>
        <v>46083</v>
      </c>
      <c r="AK10" s="60">
        <f t="shared" si="1"/>
        <v>46084</v>
      </c>
      <c r="AL10" s="60">
        <f t="shared" si="1"/>
        <v>46085</v>
      </c>
      <c r="AM10" s="60">
        <f t="shared" si="1"/>
        <v>46086</v>
      </c>
      <c r="AN10" s="60">
        <f t="shared" si="1"/>
        <v>46087</v>
      </c>
      <c r="AO10" s="60">
        <f t="shared" si="1"/>
        <v>46088</v>
      </c>
      <c r="AP10" s="60">
        <f t="shared" si="1"/>
        <v>46089</v>
      </c>
      <c r="AQ10" s="60">
        <f t="shared" si="1"/>
        <v>46090</v>
      </c>
      <c r="AR10" s="60">
        <f t="shared" si="1"/>
        <v>46091</v>
      </c>
      <c r="AS10" s="60">
        <f t="shared" si="1"/>
        <v>46092</v>
      </c>
      <c r="AT10" s="60">
        <f t="shared" si="1"/>
        <v>46093</v>
      </c>
      <c r="AU10" s="60">
        <f t="shared" si="1"/>
        <v>46094</v>
      </c>
      <c r="AV10" s="60">
        <f t="shared" si="1"/>
        <v>46095</v>
      </c>
      <c r="AW10" s="60">
        <f t="shared" si="1"/>
        <v>46096</v>
      </c>
      <c r="AX10" s="60">
        <f t="shared" si="1"/>
        <v>46097</v>
      </c>
      <c r="AY10" s="60">
        <f t="shared" si="1"/>
        <v>46098</v>
      </c>
      <c r="AZ10" s="60">
        <f t="shared" si="1"/>
        <v>46099</v>
      </c>
      <c r="BA10" s="60">
        <f t="shared" si="1"/>
        <v>46100</v>
      </c>
      <c r="BB10" s="60">
        <f t="shared" si="1"/>
        <v>46101</v>
      </c>
      <c r="BC10" s="60">
        <f t="shared" si="1"/>
        <v>46102</v>
      </c>
      <c r="BD10" s="60">
        <f t="shared" si="1"/>
        <v>46103</v>
      </c>
      <c r="BE10" s="60">
        <f t="shared" si="1"/>
        <v>46104</v>
      </c>
      <c r="BF10" s="60">
        <f t="shared" si="1"/>
        <v>46105</v>
      </c>
      <c r="BG10" s="60">
        <f t="shared" si="1"/>
        <v>46106</v>
      </c>
      <c r="BH10" s="60">
        <f t="shared" si="1"/>
        <v>46107</v>
      </c>
      <c r="BI10" s="60">
        <f t="shared" si="1"/>
        <v>46108</v>
      </c>
      <c r="BJ10" s="60">
        <f t="shared" si="1"/>
        <v>46109</v>
      </c>
      <c r="BK10" s="60">
        <f t="shared" si="1"/>
        <v>46110</v>
      </c>
      <c r="BL10" s="60">
        <f t="shared" si="1"/>
        <v>46111</v>
      </c>
      <c r="BM10" s="60">
        <f t="shared" si="1"/>
        <v>46112</v>
      </c>
      <c r="BN10" s="60">
        <f t="shared" si="1"/>
        <v>46113</v>
      </c>
      <c r="BO10" s="60">
        <f t="shared" si="1"/>
        <v>46114</v>
      </c>
      <c r="BP10" s="60">
        <f t="shared" si="1"/>
        <v>46115</v>
      </c>
      <c r="BQ10" s="60">
        <f t="shared" si="1"/>
        <v>46116</v>
      </c>
      <c r="BR10" s="60">
        <f t="shared" si="1"/>
        <v>46117</v>
      </c>
      <c r="BS10" s="60">
        <f t="shared" si="1"/>
        <v>46118</v>
      </c>
      <c r="BT10" s="60">
        <f t="shared" si="1"/>
        <v>46119</v>
      </c>
      <c r="BU10" s="60">
        <f t="shared" si="1"/>
        <v>46120</v>
      </c>
      <c r="BV10" s="60">
        <f t="shared" si="1"/>
        <v>46121</v>
      </c>
      <c r="BW10" s="60">
        <f t="shared" si="1"/>
        <v>46122</v>
      </c>
      <c r="BX10" s="60">
        <f t="shared" si="1"/>
        <v>46123</v>
      </c>
      <c r="BY10" s="60">
        <f t="shared" si="1"/>
        <v>46124</v>
      </c>
      <c r="BZ10" s="60">
        <f t="shared" si="1"/>
        <v>46125</v>
      </c>
      <c r="CA10" s="60">
        <f t="shared" si="1"/>
        <v>46126</v>
      </c>
      <c r="CB10" s="60">
        <f t="shared" si="1"/>
        <v>46127</v>
      </c>
      <c r="CC10" s="60">
        <f t="shared" si="1"/>
        <v>46128</v>
      </c>
      <c r="CD10" s="60">
        <f t="shared" si="1"/>
        <v>46129</v>
      </c>
      <c r="CE10" s="60">
        <f t="shared" si="1"/>
        <v>46130</v>
      </c>
      <c r="CF10" s="60">
        <f t="shared" si="1"/>
        <v>46131</v>
      </c>
      <c r="CG10" s="60">
        <f t="shared" si="1"/>
        <v>46132</v>
      </c>
      <c r="CH10" s="60">
        <f t="shared" si="1"/>
        <v>46133</v>
      </c>
      <c r="CI10" s="60">
        <f t="shared" si="1"/>
        <v>46134</v>
      </c>
      <c r="CJ10" s="60">
        <f t="shared" si="1"/>
        <v>46135</v>
      </c>
      <c r="CK10" s="60">
        <f t="shared" si="1"/>
        <v>46136</v>
      </c>
      <c r="CL10" s="60">
        <f t="shared" si="1"/>
        <v>46137</v>
      </c>
      <c r="CM10" s="60">
        <f t="shared" si="1"/>
        <v>46138</v>
      </c>
      <c r="CN10" s="60">
        <f t="shared" si="1"/>
        <v>46139</v>
      </c>
      <c r="CO10" s="60">
        <f t="shared" si="1"/>
        <v>46140</v>
      </c>
      <c r="CP10" s="60">
        <f t="shared" si="1"/>
        <v>46141</v>
      </c>
      <c r="CQ10" s="60">
        <f t="shared" si="1"/>
        <v>46142</v>
      </c>
      <c r="CR10" s="60">
        <f t="shared" si="1"/>
        <v>46143</v>
      </c>
      <c r="CS10" s="60">
        <f t="shared" si="1"/>
        <v>46144</v>
      </c>
      <c r="CT10" s="60">
        <f t="shared" si="1"/>
        <v>46145</v>
      </c>
      <c r="CU10" s="60">
        <f t="shared" si="1"/>
        <v>46146</v>
      </c>
      <c r="CV10" s="60">
        <f t="shared" si="1"/>
        <v>46147</v>
      </c>
      <c r="CW10" s="60">
        <f t="shared" si="1"/>
        <v>46148</v>
      </c>
      <c r="CX10" s="60">
        <f t="shared" si="1"/>
        <v>46149</v>
      </c>
      <c r="CY10" s="60">
        <f t="shared" si="1"/>
        <v>46150</v>
      </c>
      <c r="CZ10" s="60">
        <f t="shared" si="1"/>
        <v>46151</v>
      </c>
      <c r="DA10" s="60">
        <f t="shared" si="1"/>
        <v>46152</v>
      </c>
      <c r="DB10" s="60">
        <f t="shared" si="1"/>
        <v>46153</v>
      </c>
      <c r="DC10" s="60">
        <f t="shared" si="1"/>
        <v>46154</v>
      </c>
      <c r="DD10" s="60">
        <f t="shared" si="1"/>
        <v>46155</v>
      </c>
      <c r="DE10" s="60">
        <f t="shared" si="1"/>
        <v>46156</v>
      </c>
      <c r="DF10" s="60">
        <f t="shared" si="1"/>
        <v>46157</v>
      </c>
      <c r="DG10" s="60">
        <f t="shared" si="1"/>
        <v>46158</v>
      </c>
      <c r="DH10" s="60">
        <f t="shared" si="1"/>
        <v>46159</v>
      </c>
      <c r="DI10" s="60">
        <f t="shared" si="1"/>
        <v>46160</v>
      </c>
      <c r="DJ10" s="60">
        <f t="shared" si="1"/>
        <v>46161</v>
      </c>
      <c r="DK10" s="60">
        <f t="shared" si="1"/>
        <v>46162</v>
      </c>
      <c r="DL10" s="60">
        <f t="shared" si="1"/>
        <v>46163</v>
      </c>
      <c r="DM10" s="60">
        <f t="shared" si="1"/>
        <v>46164</v>
      </c>
      <c r="DN10" s="60">
        <f t="shared" si="1"/>
        <v>46165</v>
      </c>
      <c r="DO10" s="60">
        <f t="shared" si="1"/>
        <v>46166</v>
      </c>
      <c r="DP10" s="60">
        <f t="shared" si="1"/>
        <v>46167</v>
      </c>
      <c r="DQ10" s="60">
        <f t="shared" si="1"/>
        <v>46168</v>
      </c>
      <c r="DR10" s="60">
        <f t="shared" si="1"/>
        <v>46169</v>
      </c>
      <c r="DS10" s="60">
        <f t="shared" si="1"/>
        <v>46170</v>
      </c>
      <c r="DT10" s="60">
        <f t="shared" si="1"/>
        <v>46171</v>
      </c>
      <c r="DU10" s="60">
        <f t="shared" si="1"/>
        <v>46172</v>
      </c>
      <c r="DV10" s="60">
        <f t="shared" si="1"/>
        <v>46173</v>
      </c>
      <c r="DW10" s="60">
        <f t="shared" si="1"/>
        <v>46174</v>
      </c>
      <c r="DX10" s="60">
        <f t="shared" si="1"/>
        <v>46175</v>
      </c>
      <c r="DY10" s="60">
        <f t="shared" si="1"/>
        <v>46176</v>
      </c>
      <c r="DZ10" s="60">
        <f t="shared" si="1"/>
        <v>46177</v>
      </c>
      <c r="EA10" s="60">
        <f t="shared" si="1"/>
        <v>46178</v>
      </c>
      <c r="EB10" s="60">
        <f t="shared" si="1"/>
        <v>46179</v>
      </c>
      <c r="EC10" s="60">
        <f t="shared" si="1"/>
        <v>46180</v>
      </c>
      <c r="ED10" s="60">
        <f t="shared" si="1"/>
        <v>46181</v>
      </c>
      <c r="EE10" s="60">
        <f t="shared" si="1"/>
        <v>46182</v>
      </c>
      <c r="EF10" s="60">
        <f t="shared" si="1"/>
        <v>46183</v>
      </c>
      <c r="EG10" s="60">
        <f t="shared" si="1"/>
        <v>46184</v>
      </c>
      <c r="EH10" s="60">
        <f t="shared" si="1"/>
        <v>46185</v>
      </c>
      <c r="EI10" s="60">
        <f t="shared" si="1"/>
        <v>46186</v>
      </c>
      <c r="EJ10" s="60">
        <f t="shared" si="1"/>
        <v>46187</v>
      </c>
      <c r="EK10" s="60">
        <f t="shared" si="1"/>
        <v>46188</v>
      </c>
      <c r="EL10" s="60">
        <f t="shared" si="1"/>
        <v>46189</v>
      </c>
      <c r="EM10" s="60">
        <f t="shared" si="1"/>
        <v>46190</v>
      </c>
      <c r="EN10" s="60">
        <f t="shared" si="1"/>
        <v>46191</v>
      </c>
      <c r="EO10" s="60">
        <f t="shared" si="1"/>
        <v>46192</v>
      </c>
      <c r="EP10" s="60">
        <f t="shared" si="1"/>
        <v>46193</v>
      </c>
      <c r="EQ10" s="60">
        <f t="shared" si="1"/>
        <v>46194</v>
      </c>
      <c r="ER10" s="60">
        <f t="shared" si="1"/>
        <v>46195</v>
      </c>
      <c r="ES10" s="60">
        <f t="shared" si="1"/>
        <v>46196</v>
      </c>
      <c r="ET10" s="60">
        <f t="shared" si="1"/>
        <v>46197</v>
      </c>
      <c r="EU10" s="60">
        <f t="shared" si="1"/>
        <v>46198</v>
      </c>
      <c r="EV10" s="60">
        <f t="shared" si="1"/>
        <v>46199</v>
      </c>
      <c r="EW10" s="60">
        <f t="shared" si="1"/>
        <v>46200</v>
      </c>
      <c r="EX10" s="60">
        <f t="shared" si="1"/>
        <v>46201</v>
      </c>
      <c r="EY10" s="60">
        <f t="shared" si="1"/>
        <v>46202</v>
      </c>
      <c r="EZ10" s="60">
        <f t="shared" si="1"/>
        <v>46203</v>
      </c>
      <c r="FA10" s="60">
        <f t="shared" si="1"/>
        <v>46204</v>
      </c>
      <c r="FB10" s="60">
        <f t="shared" si="1"/>
        <v>46205</v>
      </c>
      <c r="FC10" s="60">
        <f t="shared" si="1"/>
        <v>46206</v>
      </c>
      <c r="FD10" s="60">
        <f t="shared" si="1"/>
        <v>46207</v>
      </c>
      <c r="FE10" s="60">
        <f t="shared" si="1"/>
        <v>46208</v>
      </c>
      <c r="FF10" s="60">
        <f t="shared" si="1"/>
        <v>46209</v>
      </c>
      <c r="FG10" s="60">
        <f t="shared" si="1"/>
        <v>46210</v>
      </c>
      <c r="FH10" s="60">
        <f t="shared" si="1"/>
        <v>46211</v>
      </c>
      <c r="FI10" s="60">
        <f t="shared" si="1"/>
        <v>46212</v>
      </c>
      <c r="FJ10" s="60">
        <f t="shared" si="1"/>
        <v>46213</v>
      </c>
      <c r="FK10" s="60">
        <f t="shared" si="1"/>
        <v>46214</v>
      </c>
      <c r="FL10" s="60">
        <f t="shared" si="1"/>
        <v>46215</v>
      </c>
      <c r="FM10" s="60">
        <f t="shared" si="1"/>
        <v>46216</v>
      </c>
      <c r="FN10" s="60">
        <f t="shared" si="1"/>
        <v>46217</v>
      </c>
      <c r="FO10" s="60">
        <f t="shared" si="1"/>
        <v>46218</v>
      </c>
      <c r="FP10" s="60">
        <f t="shared" si="1"/>
        <v>46219</v>
      </c>
      <c r="FQ10" s="60">
        <f t="shared" si="1"/>
        <v>46220</v>
      </c>
      <c r="FR10" s="60">
        <f t="shared" si="1"/>
        <v>46221</v>
      </c>
      <c r="FS10" s="60">
        <f t="shared" si="1"/>
        <v>46222</v>
      </c>
      <c r="FT10" s="60">
        <f t="shared" si="1"/>
        <v>46223</v>
      </c>
      <c r="FU10" s="60">
        <f t="shared" si="1"/>
        <v>46224</v>
      </c>
      <c r="FV10" s="60">
        <f t="shared" si="1"/>
        <v>46225</v>
      </c>
      <c r="FW10" s="60">
        <f t="shared" si="1"/>
        <v>46226</v>
      </c>
      <c r="FX10" s="60">
        <f t="shared" si="1"/>
        <v>46227</v>
      </c>
      <c r="FY10" s="60">
        <f t="shared" si="1"/>
        <v>46228</v>
      </c>
      <c r="FZ10" s="60">
        <f t="shared" si="1"/>
        <v>46229</v>
      </c>
      <c r="GA10" s="60">
        <f t="shared" si="1"/>
        <v>46230</v>
      </c>
      <c r="GB10" s="60">
        <f t="shared" si="1"/>
        <v>46231</v>
      </c>
      <c r="GC10" s="60">
        <f t="shared" si="1"/>
        <v>46232</v>
      </c>
      <c r="GD10" s="60">
        <f t="shared" si="1"/>
        <v>46233</v>
      </c>
      <c r="GE10" s="60">
        <f t="shared" si="1"/>
        <v>46234</v>
      </c>
      <c r="GF10" s="60">
        <f t="shared" si="1"/>
        <v>46235</v>
      </c>
      <c r="GG10" s="60">
        <f t="shared" si="1"/>
        <v>46236</v>
      </c>
      <c r="GH10" s="60">
        <f t="shared" si="1"/>
        <v>46237</v>
      </c>
      <c r="GI10" s="60">
        <f t="shared" si="1"/>
        <v>46238</v>
      </c>
      <c r="GJ10" s="60">
        <f t="shared" si="1"/>
        <v>46239</v>
      </c>
      <c r="GK10" s="60">
        <f t="shared" si="1"/>
        <v>46240</v>
      </c>
      <c r="GL10" s="60">
        <f t="shared" si="1"/>
        <v>46241</v>
      </c>
      <c r="GM10" s="60">
        <f t="shared" si="1"/>
        <v>46242</v>
      </c>
      <c r="GN10" s="60">
        <f t="shared" si="1"/>
        <v>46243</v>
      </c>
      <c r="GO10" s="60">
        <f t="shared" si="1"/>
        <v>46244</v>
      </c>
      <c r="GP10" s="60">
        <f t="shared" si="1"/>
        <v>46245</v>
      </c>
      <c r="GQ10" s="60">
        <f t="shared" si="1"/>
        <v>46246</v>
      </c>
      <c r="GR10" s="60">
        <f t="shared" si="1"/>
        <v>46247</v>
      </c>
      <c r="GS10" s="60">
        <f t="shared" si="1"/>
        <v>46248</v>
      </c>
      <c r="GT10" s="60">
        <f t="shared" si="1"/>
        <v>46249</v>
      </c>
      <c r="GU10" s="60">
        <f t="shared" si="1"/>
        <v>46250</v>
      </c>
      <c r="GV10" s="60">
        <f t="shared" si="1"/>
        <v>46251</v>
      </c>
      <c r="GW10" s="60">
        <f t="shared" si="1"/>
        <v>46252</v>
      </c>
      <c r="GX10" s="60">
        <f t="shared" si="1"/>
        <v>46253</v>
      </c>
      <c r="GY10" s="60">
        <f t="shared" si="1"/>
        <v>46254</v>
      </c>
      <c r="GZ10" s="60">
        <f t="shared" si="1"/>
        <v>46255</v>
      </c>
      <c r="HA10" s="60">
        <f t="shared" si="1"/>
        <v>46256</v>
      </c>
      <c r="HB10" s="60">
        <f t="shared" si="1"/>
        <v>46257</v>
      </c>
      <c r="HC10" s="60">
        <f t="shared" si="1"/>
        <v>46258</v>
      </c>
      <c r="HD10" s="60">
        <f t="shared" si="1"/>
        <v>46259</v>
      </c>
      <c r="HE10" s="60">
        <f t="shared" si="1"/>
        <v>46260</v>
      </c>
      <c r="HF10" s="60">
        <f t="shared" si="1"/>
        <v>46261</v>
      </c>
      <c r="HG10" s="60">
        <f t="shared" si="1"/>
        <v>46262</v>
      </c>
      <c r="HH10" s="60">
        <f t="shared" si="1"/>
        <v>46263</v>
      </c>
      <c r="HI10" s="60">
        <f t="shared" si="1"/>
        <v>46264</v>
      </c>
      <c r="HJ10" s="60">
        <f t="shared" si="1"/>
        <v>46265</v>
      </c>
      <c r="HK10" s="60">
        <f t="shared" si="1"/>
        <v>46266</v>
      </c>
      <c r="HL10" s="60">
        <f t="shared" si="1"/>
        <v>46267</v>
      </c>
      <c r="HM10" s="60">
        <f t="shared" si="1"/>
        <v>46268</v>
      </c>
      <c r="HN10" s="60">
        <f t="shared" si="1"/>
        <v>46269</v>
      </c>
      <c r="HO10" s="60">
        <f t="shared" si="1"/>
        <v>46270</v>
      </c>
      <c r="HP10" s="60">
        <f t="shared" si="1"/>
        <v>46271</v>
      </c>
      <c r="HQ10" s="60">
        <f t="shared" si="1"/>
        <v>46272</v>
      </c>
      <c r="HR10" s="60">
        <f t="shared" si="1"/>
        <v>46273</v>
      </c>
      <c r="HS10" s="60">
        <f t="shared" si="1"/>
        <v>46274</v>
      </c>
      <c r="HT10" s="60">
        <f t="shared" si="1"/>
        <v>46275</v>
      </c>
      <c r="HU10" s="60">
        <f t="shared" si="1"/>
        <v>46276</v>
      </c>
      <c r="HV10" s="60">
        <f t="shared" si="1"/>
        <v>46277</v>
      </c>
      <c r="HW10" s="60">
        <f t="shared" si="1"/>
        <v>46278</v>
      </c>
      <c r="HX10" s="60">
        <f t="shared" si="1"/>
        <v>46279</v>
      </c>
      <c r="HY10" s="60">
        <f t="shared" si="1"/>
        <v>46280</v>
      </c>
      <c r="HZ10" s="60">
        <f t="shared" si="1"/>
        <v>46281</v>
      </c>
      <c r="IA10" s="60">
        <f t="shared" si="1"/>
        <v>46282</v>
      </c>
      <c r="IB10" s="60">
        <f t="shared" si="1"/>
        <v>46283</v>
      </c>
      <c r="IC10" s="60">
        <f t="shared" si="1"/>
        <v>46284</v>
      </c>
      <c r="ID10" s="60">
        <f t="shared" si="1"/>
        <v>46285</v>
      </c>
      <c r="IE10" s="60">
        <f t="shared" si="1"/>
        <v>46286</v>
      </c>
      <c r="IF10" s="60">
        <f t="shared" si="1"/>
        <v>46287</v>
      </c>
      <c r="IG10" s="60">
        <f t="shared" si="1"/>
        <v>46288</v>
      </c>
      <c r="IH10" s="60">
        <f t="shared" si="1"/>
        <v>46289</v>
      </c>
    </row>
    <row r="11">
      <c r="A11" s="4"/>
      <c r="B11" s="4"/>
      <c r="C11" s="83" t="s">
        <v>4</v>
      </c>
      <c r="D11" s="84" t="s">
        <v>35</v>
      </c>
      <c r="E11" s="83" t="s">
        <v>6</v>
      </c>
      <c r="F11" s="83" t="s">
        <v>7</v>
      </c>
      <c r="G11" s="83" t="s">
        <v>8</v>
      </c>
      <c r="H11" s="85" t="s">
        <v>9</v>
      </c>
      <c r="I11" s="83" t="s">
        <v>10</v>
      </c>
      <c r="J11" s="85" t="s">
        <v>11</v>
      </c>
      <c r="K11" s="83" t="s">
        <v>36</v>
      </c>
      <c r="L11" s="4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  <c r="FU11" s="86"/>
      <c r="FV11" s="86"/>
      <c r="FW11" s="86"/>
      <c r="FX11" s="86"/>
      <c r="FY11" s="86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/>
      <c r="GS11" s="86"/>
      <c r="GT11" s="86"/>
      <c r="GU11" s="86"/>
      <c r="GV11" s="86"/>
      <c r="GW11" s="86"/>
      <c r="GX11" s="86"/>
      <c r="GY11" s="86"/>
      <c r="GZ11" s="86"/>
      <c r="HA11" s="86"/>
      <c r="HB11" s="86"/>
      <c r="HC11" s="86"/>
      <c r="HD11" s="86"/>
      <c r="HE11" s="86"/>
      <c r="HF11" s="86"/>
      <c r="HG11" s="86"/>
      <c r="HH11" s="86"/>
      <c r="HI11" s="86"/>
      <c r="HJ11" s="86"/>
      <c r="HK11" s="86"/>
      <c r="HL11" s="86"/>
      <c r="HM11" s="86"/>
      <c r="HN11" s="86"/>
      <c r="HO11" s="86"/>
      <c r="HP11" s="86"/>
      <c r="HQ11" s="86"/>
      <c r="HR11" s="86"/>
      <c r="HS11" s="86"/>
      <c r="HT11" s="86"/>
      <c r="HU11" s="86"/>
      <c r="HV11" s="86"/>
      <c r="HW11" s="86"/>
      <c r="HX11" s="86"/>
      <c r="HY11" s="86"/>
      <c r="HZ11" s="86"/>
      <c r="IA11" s="86"/>
      <c r="IB11" s="86"/>
      <c r="IC11" s="86"/>
      <c r="ID11" s="86"/>
      <c r="IE11" s="86"/>
      <c r="IF11" s="86"/>
      <c r="IG11" s="86"/>
      <c r="IH11" s="86"/>
    </row>
    <row r="12">
      <c r="A12" s="4"/>
      <c r="B12" s="4"/>
      <c r="C12" s="20" t="s">
        <v>37</v>
      </c>
      <c r="D12" s="7" t="s">
        <v>38</v>
      </c>
      <c r="E12" s="20" t="s">
        <v>39</v>
      </c>
      <c r="F12" s="87">
        <v>46060.0</v>
      </c>
      <c r="G12" s="87">
        <v>46061.0</v>
      </c>
      <c r="H12" s="20">
        <f t="shared" ref="H12:H64" si="2">G12-F12</f>
        <v>1</v>
      </c>
      <c r="I12" s="88" t="s">
        <v>34</v>
      </c>
      <c r="J12" s="89">
        <f t="array" ref="J12">IFS(I12="Completo",100%,I12="Não iniciado",0%,I12="Em Progresso",50%)</f>
        <v>1</v>
      </c>
      <c r="K12" s="90" t="s">
        <v>40</v>
      </c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DY12" s="91"/>
      <c r="DZ12" s="91"/>
      <c r="EA12" s="91"/>
      <c r="EB12" s="91"/>
      <c r="EC12" s="91"/>
      <c r="ED12" s="91"/>
      <c r="EE12" s="91"/>
      <c r="EF12" s="91"/>
      <c r="EG12" s="91"/>
      <c r="EH12" s="9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91"/>
      <c r="FC12" s="91"/>
      <c r="FD12" s="91"/>
      <c r="FE12" s="91"/>
      <c r="FF12" s="91"/>
      <c r="FG12" s="91"/>
      <c r="FH12" s="91"/>
      <c r="FI12" s="91"/>
      <c r="FJ12" s="91"/>
      <c r="FK12" s="91"/>
      <c r="FL12" s="91"/>
      <c r="FM12" s="91"/>
      <c r="FN12" s="91"/>
      <c r="FO12" s="91"/>
      <c r="FP12" s="91"/>
      <c r="FQ12" s="91"/>
      <c r="FR12" s="91"/>
      <c r="FS12" s="91"/>
      <c r="FT12" s="91"/>
      <c r="FU12" s="91"/>
      <c r="FV12" s="91"/>
      <c r="FW12" s="91"/>
      <c r="FX12" s="91"/>
      <c r="FY12" s="91"/>
      <c r="FZ12" s="91"/>
      <c r="GA12" s="91"/>
      <c r="GB12" s="91"/>
      <c r="GC12" s="91"/>
      <c r="GD12" s="91"/>
      <c r="GE12" s="91"/>
      <c r="GF12" s="91"/>
      <c r="GG12" s="91"/>
      <c r="GH12" s="91"/>
      <c r="GI12" s="91"/>
      <c r="GJ12" s="91"/>
      <c r="GK12" s="91"/>
      <c r="GL12" s="91"/>
      <c r="GM12" s="91"/>
      <c r="GN12" s="91"/>
      <c r="GO12" s="91"/>
      <c r="GP12" s="91"/>
      <c r="GQ12" s="91"/>
      <c r="GR12" s="91"/>
      <c r="GS12" s="91"/>
      <c r="GT12" s="91"/>
      <c r="GU12" s="91"/>
      <c r="GV12" s="91"/>
      <c r="GW12" s="91"/>
      <c r="GX12" s="91"/>
      <c r="GY12" s="91"/>
      <c r="GZ12" s="91"/>
      <c r="HA12" s="91"/>
      <c r="HB12" s="91"/>
      <c r="HC12" s="91"/>
      <c r="HD12" s="91"/>
      <c r="HE12" s="91"/>
      <c r="HF12" s="91"/>
      <c r="HG12" s="91"/>
      <c r="HH12" s="91"/>
      <c r="HI12" s="91"/>
      <c r="HJ12" s="91"/>
      <c r="HK12" s="91"/>
      <c r="HL12" s="91"/>
      <c r="HM12" s="91"/>
      <c r="HN12" s="91"/>
      <c r="HO12" s="91"/>
      <c r="HP12" s="91"/>
      <c r="HQ12" s="91"/>
      <c r="HR12" s="91"/>
      <c r="HS12" s="91"/>
      <c r="HT12" s="91"/>
      <c r="HU12" s="91"/>
      <c r="HV12" s="91"/>
      <c r="HW12" s="91"/>
      <c r="HX12" s="91"/>
      <c r="HY12" s="91"/>
      <c r="HZ12" s="91"/>
      <c r="IA12" s="91"/>
      <c r="IB12" s="91"/>
      <c r="IC12" s="91"/>
      <c r="ID12" s="91"/>
      <c r="IE12" s="91"/>
      <c r="IF12" s="91"/>
      <c r="IG12" s="91"/>
      <c r="IH12" s="91"/>
    </row>
    <row r="13" ht="15.75" customHeight="1">
      <c r="A13" s="4"/>
      <c r="B13" s="4"/>
      <c r="C13" s="5" t="s">
        <v>41</v>
      </c>
      <c r="D13" s="7" t="s">
        <v>42</v>
      </c>
      <c r="E13" s="5" t="s">
        <v>39</v>
      </c>
      <c r="F13" s="87">
        <v>46061.0</v>
      </c>
      <c r="G13" s="87">
        <v>46062.0</v>
      </c>
      <c r="H13" s="20">
        <f t="shared" si="2"/>
        <v>1</v>
      </c>
      <c r="I13" s="88" t="s">
        <v>34</v>
      </c>
      <c r="J13" s="89">
        <f t="array" ref="J13">IFS(I13="Completo",100%,I13="Não iniciado",0%,I13="Em Progresso",50%)</f>
        <v>1</v>
      </c>
      <c r="K13" s="88" t="s">
        <v>43</v>
      </c>
      <c r="L13" s="4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  <c r="DQ13" s="91"/>
      <c r="DR13" s="91"/>
      <c r="DS13" s="91"/>
      <c r="DT13" s="91"/>
      <c r="DU13" s="91"/>
      <c r="DV13" s="91"/>
      <c r="DW13" s="91"/>
      <c r="DX13" s="91"/>
      <c r="DY13" s="91"/>
      <c r="DZ13" s="91"/>
      <c r="EA13" s="91"/>
      <c r="EB13" s="91"/>
      <c r="EC13" s="91"/>
      <c r="ED13" s="91"/>
      <c r="EE13" s="91"/>
      <c r="EF13" s="91"/>
      <c r="EG13" s="91"/>
      <c r="EH13" s="91"/>
      <c r="EI13" s="91"/>
      <c r="EJ13" s="91"/>
      <c r="EK13" s="91"/>
      <c r="EL13" s="91"/>
      <c r="EM13" s="91"/>
      <c r="EN13" s="91"/>
      <c r="EO13" s="91"/>
      <c r="EP13" s="91"/>
      <c r="EQ13" s="91"/>
      <c r="ER13" s="91"/>
      <c r="ES13" s="91"/>
      <c r="ET13" s="91"/>
      <c r="EU13" s="91"/>
      <c r="EV13" s="91"/>
      <c r="EW13" s="91"/>
      <c r="EX13" s="91"/>
      <c r="EY13" s="91"/>
      <c r="EZ13" s="91"/>
      <c r="FA13" s="91"/>
      <c r="FB13" s="91"/>
      <c r="FC13" s="91"/>
      <c r="FD13" s="91"/>
      <c r="FE13" s="91"/>
      <c r="FF13" s="91"/>
      <c r="FG13" s="91"/>
      <c r="FH13" s="91"/>
      <c r="FI13" s="91"/>
      <c r="FJ13" s="91"/>
      <c r="FK13" s="91"/>
      <c r="FL13" s="91"/>
      <c r="FM13" s="91"/>
      <c r="FN13" s="91"/>
      <c r="FO13" s="91"/>
      <c r="FP13" s="91"/>
      <c r="FQ13" s="91"/>
      <c r="FR13" s="91"/>
      <c r="FS13" s="91"/>
      <c r="FT13" s="91"/>
      <c r="FU13" s="91"/>
      <c r="FV13" s="91"/>
      <c r="FW13" s="91"/>
      <c r="FX13" s="91"/>
      <c r="FY13" s="91"/>
      <c r="FZ13" s="91"/>
      <c r="GA13" s="91"/>
      <c r="GB13" s="91"/>
      <c r="GC13" s="91"/>
      <c r="GD13" s="91"/>
      <c r="GE13" s="91"/>
      <c r="GF13" s="91"/>
      <c r="GG13" s="91"/>
      <c r="GH13" s="91"/>
      <c r="GI13" s="91"/>
      <c r="GJ13" s="91"/>
      <c r="GK13" s="91"/>
      <c r="GL13" s="91"/>
      <c r="GM13" s="91"/>
      <c r="GN13" s="91"/>
      <c r="GO13" s="91"/>
      <c r="GP13" s="91"/>
      <c r="GQ13" s="91"/>
      <c r="GR13" s="91"/>
      <c r="GS13" s="91"/>
      <c r="GT13" s="91"/>
      <c r="GU13" s="91"/>
      <c r="GV13" s="91"/>
      <c r="GW13" s="91"/>
      <c r="GX13" s="91"/>
      <c r="GY13" s="91"/>
      <c r="GZ13" s="91"/>
      <c r="HA13" s="91"/>
      <c r="HB13" s="91"/>
      <c r="HC13" s="91"/>
      <c r="HD13" s="91"/>
      <c r="HE13" s="91"/>
      <c r="HF13" s="91"/>
      <c r="HG13" s="91"/>
      <c r="HH13" s="91"/>
      <c r="HI13" s="91"/>
      <c r="HJ13" s="91"/>
      <c r="HK13" s="91"/>
      <c r="HL13" s="91"/>
      <c r="HM13" s="91"/>
      <c r="HN13" s="91"/>
      <c r="HO13" s="91"/>
      <c r="HP13" s="91"/>
      <c r="HQ13" s="91"/>
      <c r="HR13" s="91"/>
      <c r="HS13" s="91"/>
      <c r="HT13" s="91"/>
      <c r="HU13" s="91"/>
      <c r="HV13" s="91"/>
      <c r="HW13" s="91"/>
      <c r="HX13" s="91"/>
      <c r="HY13" s="91"/>
      <c r="HZ13" s="91"/>
      <c r="IA13" s="91"/>
      <c r="IB13" s="91"/>
      <c r="IC13" s="91"/>
      <c r="ID13" s="91"/>
      <c r="IE13" s="91"/>
      <c r="IF13" s="91"/>
      <c r="IG13" s="91"/>
      <c r="IH13" s="91"/>
    </row>
    <row r="14">
      <c r="A14" s="4"/>
      <c r="B14" s="4"/>
      <c r="C14" s="20" t="s">
        <v>44</v>
      </c>
      <c r="D14" s="7" t="s">
        <v>45</v>
      </c>
      <c r="E14" s="20" t="s">
        <v>46</v>
      </c>
      <c r="F14" s="87">
        <v>46061.0</v>
      </c>
      <c r="G14" s="87">
        <v>46062.0</v>
      </c>
      <c r="H14" s="20">
        <f t="shared" si="2"/>
        <v>1</v>
      </c>
      <c r="I14" s="88" t="s">
        <v>34</v>
      </c>
      <c r="J14" s="89">
        <f t="array" ref="J14">IFS(I14="Completo",100%,I14="Não iniciado",0%,I14="Em Progresso",50%)</f>
        <v>1</v>
      </c>
      <c r="K14" s="90" t="s">
        <v>47</v>
      </c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  <c r="DQ14" s="91"/>
      <c r="DR14" s="91"/>
      <c r="DS14" s="91"/>
      <c r="DT14" s="91"/>
      <c r="DU14" s="91"/>
      <c r="DV14" s="91"/>
      <c r="DW14" s="91"/>
      <c r="DX14" s="91"/>
      <c r="DY14" s="91"/>
      <c r="DZ14" s="91"/>
      <c r="EA14" s="91"/>
      <c r="EB14" s="91"/>
      <c r="EC14" s="91"/>
      <c r="ED14" s="91"/>
      <c r="EE14" s="91"/>
      <c r="EF14" s="91"/>
      <c r="EG14" s="91"/>
      <c r="EH14" s="91"/>
      <c r="EI14" s="91"/>
      <c r="EJ14" s="91"/>
      <c r="EK14" s="91"/>
      <c r="EL14" s="91"/>
      <c r="EM14" s="91"/>
      <c r="EN14" s="91"/>
      <c r="EO14" s="91"/>
      <c r="EP14" s="91"/>
      <c r="EQ14" s="91"/>
      <c r="ER14" s="91"/>
      <c r="ES14" s="91"/>
      <c r="ET14" s="91"/>
      <c r="EU14" s="91"/>
      <c r="EV14" s="91"/>
      <c r="EW14" s="91"/>
      <c r="EX14" s="91"/>
      <c r="EY14" s="91"/>
      <c r="EZ14" s="91"/>
      <c r="FA14" s="91"/>
      <c r="FB14" s="91"/>
      <c r="FC14" s="91"/>
      <c r="FD14" s="91"/>
      <c r="FE14" s="91"/>
      <c r="FF14" s="91"/>
      <c r="FG14" s="91"/>
      <c r="FH14" s="91"/>
      <c r="FI14" s="91"/>
      <c r="FJ14" s="91"/>
      <c r="FK14" s="91"/>
      <c r="FL14" s="91"/>
      <c r="FM14" s="91"/>
      <c r="FN14" s="91"/>
      <c r="FO14" s="91"/>
      <c r="FP14" s="91"/>
      <c r="FQ14" s="91"/>
      <c r="FR14" s="91"/>
      <c r="FS14" s="91"/>
      <c r="FT14" s="91"/>
      <c r="FU14" s="91"/>
      <c r="FV14" s="91"/>
      <c r="FW14" s="91"/>
      <c r="FX14" s="91"/>
      <c r="FY14" s="91"/>
      <c r="FZ14" s="91"/>
      <c r="GA14" s="91"/>
      <c r="GB14" s="91"/>
      <c r="GC14" s="91"/>
      <c r="GD14" s="91"/>
      <c r="GE14" s="91"/>
      <c r="GF14" s="91"/>
      <c r="GG14" s="91"/>
      <c r="GH14" s="91"/>
      <c r="GI14" s="91"/>
      <c r="GJ14" s="91"/>
      <c r="GK14" s="91"/>
      <c r="GL14" s="91"/>
      <c r="GM14" s="91"/>
      <c r="GN14" s="91"/>
      <c r="GO14" s="91"/>
      <c r="GP14" s="91"/>
      <c r="GQ14" s="91"/>
      <c r="GR14" s="91"/>
      <c r="GS14" s="91"/>
      <c r="GT14" s="91"/>
      <c r="GU14" s="91"/>
      <c r="GV14" s="91"/>
      <c r="GW14" s="91"/>
      <c r="GX14" s="91"/>
      <c r="GY14" s="91"/>
      <c r="GZ14" s="91"/>
      <c r="HA14" s="91"/>
      <c r="HB14" s="91"/>
      <c r="HC14" s="91"/>
      <c r="HD14" s="91"/>
      <c r="HE14" s="91"/>
      <c r="HF14" s="91"/>
      <c r="HG14" s="91"/>
      <c r="HH14" s="91"/>
      <c r="HI14" s="91"/>
      <c r="HJ14" s="91"/>
      <c r="HK14" s="91"/>
      <c r="HL14" s="91"/>
      <c r="HM14" s="91"/>
      <c r="HN14" s="91"/>
      <c r="HO14" s="91"/>
      <c r="HP14" s="91"/>
      <c r="HQ14" s="91"/>
      <c r="HR14" s="91"/>
      <c r="HS14" s="91"/>
      <c r="HT14" s="91"/>
      <c r="HU14" s="91"/>
      <c r="HV14" s="91"/>
      <c r="HW14" s="91"/>
      <c r="HX14" s="91"/>
      <c r="HY14" s="91"/>
      <c r="HZ14" s="91"/>
      <c r="IA14" s="91"/>
      <c r="IB14" s="91"/>
      <c r="IC14" s="91"/>
      <c r="ID14" s="91"/>
      <c r="IE14" s="91"/>
      <c r="IF14" s="91"/>
      <c r="IG14" s="91"/>
      <c r="IH14" s="91"/>
    </row>
    <row r="15">
      <c r="A15" s="4"/>
      <c r="B15" s="4"/>
      <c r="C15" s="20" t="s">
        <v>48</v>
      </c>
      <c r="D15" s="7" t="s">
        <v>49</v>
      </c>
      <c r="E15" s="20" t="s">
        <v>46</v>
      </c>
      <c r="F15" s="87">
        <v>46061.0</v>
      </c>
      <c r="G15" s="87">
        <v>46063.0</v>
      </c>
      <c r="H15" s="20">
        <f t="shared" si="2"/>
        <v>2</v>
      </c>
      <c r="I15" s="88" t="s">
        <v>34</v>
      </c>
      <c r="J15" s="89">
        <f t="array" ref="J15">IFS(I15="Completo",100%,I15="Não iniciado",0%,I15="Em Progresso",50%)</f>
        <v>1</v>
      </c>
      <c r="K15" s="89" t="s">
        <v>50</v>
      </c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91"/>
      <c r="EH15" s="91"/>
      <c r="EI15" s="91"/>
      <c r="EJ15" s="91"/>
      <c r="EK15" s="91"/>
      <c r="EL15" s="91"/>
      <c r="EM15" s="91"/>
      <c r="EN15" s="91"/>
      <c r="EO15" s="91"/>
      <c r="EP15" s="91"/>
      <c r="EQ15" s="91"/>
      <c r="ER15" s="91"/>
      <c r="ES15" s="91"/>
      <c r="ET15" s="91"/>
      <c r="EU15" s="91"/>
      <c r="EV15" s="91"/>
      <c r="EW15" s="91"/>
      <c r="EX15" s="91"/>
      <c r="EY15" s="91"/>
      <c r="EZ15" s="91"/>
      <c r="FA15" s="91"/>
      <c r="FB15" s="91"/>
      <c r="FC15" s="91"/>
      <c r="FD15" s="91"/>
      <c r="FE15" s="91"/>
      <c r="FF15" s="91"/>
      <c r="FG15" s="91"/>
      <c r="FH15" s="91"/>
      <c r="FI15" s="91"/>
      <c r="FJ15" s="91"/>
      <c r="FK15" s="91"/>
      <c r="FL15" s="91"/>
      <c r="FM15" s="91"/>
      <c r="FN15" s="91"/>
      <c r="FO15" s="91"/>
      <c r="FP15" s="91"/>
      <c r="FQ15" s="91"/>
      <c r="FR15" s="91"/>
      <c r="FS15" s="91"/>
      <c r="FT15" s="91"/>
      <c r="FU15" s="91"/>
      <c r="FV15" s="91"/>
      <c r="FW15" s="91"/>
      <c r="FX15" s="91"/>
      <c r="FY15" s="91"/>
      <c r="FZ15" s="91"/>
      <c r="GA15" s="91"/>
      <c r="GB15" s="91"/>
      <c r="GC15" s="91"/>
      <c r="GD15" s="91"/>
      <c r="GE15" s="91"/>
      <c r="GF15" s="91"/>
      <c r="GG15" s="91"/>
      <c r="GH15" s="91"/>
      <c r="GI15" s="91"/>
      <c r="GJ15" s="91"/>
      <c r="GK15" s="91"/>
      <c r="GL15" s="91"/>
      <c r="GM15" s="91"/>
      <c r="GN15" s="91"/>
      <c r="GO15" s="91"/>
      <c r="GP15" s="91"/>
      <c r="GQ15" s="91"/>
      <c r="GR15" s="91"/>
      <c r="GS15" s="91"/>
      <c r="GT15" s="91"/>
      <c r="GU15" s="91"/>
      <c r="GV15" s="91"/>
      <c r="GW15" s="91"/>
      <c r="GX15" s="91"/>
      <c r="GY15" s="91"/>
      <c r="GZ15" s="91"/>
      <c r="HA15" s="91"/>
      <c r="HB15" s="91"/>
      <c r="HC15" s="91"/>
      <c r="HD15" s="91"/>
      <c r="HE15" s="91"/>
      <c r="HF15" s="91"/>
      <c r="HG15" s="91"/>
      <c r="HH15" s="91"/>
      <c r="HI15" s="91"/>
      <c r="HJ15" s="91"/>
      <c r="HK15" s="91"/>
      <c r="HL15" s="91"/>
      <c r="HM15" s="91"/>
      <c r="HN15" s="91"/>
      <c r="HO15" s="91"/>
      <c r="HP15" s="91"/>
      <c r="HQ15" s="91"/>
      <c r="HR15" s="91"/>
      <c r="HS15" s="91"/>
      <c r="HT15" s="91"/>
      <c r="HU15" s="91"/>
      <c r="HV15" s="91"/>
      <c r="HW15" s="91"/>
      <c r="HX15" s="91"/>
      <c r="HY15" s="91"/>
      <c r="HZ15" s="91"/>
      <c r="IA15" s="91"/>
      <c r="IB15" s="91"/>
      <c r="IC15" s="91"/>
      <c r="ID15" s="91"/>
      <c r="IE15" s="91"/>
      <c r="IF15" s="91"/>
      <c r="IG15" s="91"/>
      <c r="IH15" s="91"/>
    </row>
    <row r="16">
      <c r="A16" s="4"/>
      <c r="B16" s="4"/>
      <c r="C16" s="20" t="s">
        <v>51</v>
      </c>
      <c r="D16" s="7" t="s">
        <v>52</v>
      </c>
      <c r="E16" s="20" t="s">
        <v>46</v>
      </c>
      <c r="F16" s="87">
        <v>46061.0</v>
      </c>
      <c r="G16" s="87">
        <v>46064.0</v>
      </c>
      <c r="H16" s="20">
        <f t="shared" si="2"/>
        <v>3</v>
      </c>
      <c r="I16" s="88" t="s">
        <v>34</v>
      </c>
      <c r="J16" s="89">
        <f t="array" ref="J16">IFS(I16="Completo",100%,I16="Não iniciado",0%,I16="Em Progresso",50%)</f>
        <v>1</v>
      </c>
      <c r="K16" s="89" t="s">
        <v>53</v>
      </c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  <c r="FU16" s="91"/>
      <c r="FV16" s="91"/>
      <c r="FW16" s="91"/>
      <c r="FX16" s="91"/>
      <c r="FY16" s="91"/>
      <c r="FZ16" s="91"/>
      <c r="GA16" s="91"/>
      <c r="GB16" s="91"/>
      <c r="GC16" s="91"/>
      <c r="GD16" s="91"/>
      <c r="GE16" s="91"/>
      <c r="GF16" s="91"/>
      <c r="GG16" s="91"/>
      <c r="GH16" s="91"/>
      <c r="GI16" s="91"/>
      <c r="GJ16" s="91"/>
      <c r="GK16" s="91"/>
      <c r="GL16" s="91"/>
      <c r="GM16" s="91"/>
      <c r="GN16" s="91"/>
      <c r="GO16" s="91"/>
      <c r="GP16" s="91"/>
      <c r="GQ16" s="91"/>
      <c r="GR16" s="91"/>
      <c r="GS16" s="91"/>
      <c r="GT16" s="91"/>
      <c r="GU16" s="91"/>
      <c r="GV16" s="91"/>
      <c r="GW16" s="91"/>
      <c r="GX16" s="91"/>
      <c r="GY16" s="91"/>
      <c r="GZ16" s="91"/>
      <c r="HA16" s="91"/>
      <c r="HB16" s="91"/>
      <c r="HC16" s="91"/>
      <c r="HD16" s="91"/>
      <c r="HE16" s="91"/>
      <c r="HF16" s="91"/>
      <c r="HG16" s="91"/>
      <c r="HH16" s="91"/>
      <c r="HI16" s="91"/>
      <c r="HJ16" s="91"/>
      <c r="HK16" s="91"/>
      <c r="HL16" s="91"/>
      <c r="HM16" s="91"/>
      <c r="HN16" s="91"/>
      <c r="HO16" s="91"/>
      <c r="HP16" s="91"/>
      <c r="HQ16" s="91"/>
      <c r="HR16" s="91"/>
      <c r="HS16" s="91"/>
      <c r="HT16" s="91"/>
      <c r="HU16" s="91"/>
      <c r="HV16" s="91"/>
      <c r="HW16" s="91"/>
      <c r="HX16" s="91"/>
      <c r="HY16" s="91"/>
      <c r="HZ16" s="91"/>
      <c r="IA16" s="91"/>
      <c r="IB16" s="91"/>
      <c r="IC16" s="91"/>
      <c r="ID16" s="91"/>
      <c r="IE16" s="91"/>
      <c r="IF16" s="91"/>
      <c r="IG16" s="91"/>
      <c r="IH16" s="91"/>
    </row>
    <row r="17" ht="15.75" customHeight="1">
      <c r="A17" s="4"/>
      <c r="B17" s="4"/>
      <c r="C17" s="5" t="s">
        <v>54</v>
      </c>
      <c r="D17" s="7" t="s">
        <v>55</v>
      </c>
      <c r="E17" s="5" t="s">
        <v>39</v>
      </c>
      <c r="F17" s="92">
        <v>46076.0</v>
      </c>
      <c r="G17" s="92">
        <v>46080.0</v>
      </c>
      <c r="H17" s="20">
        <f t="shared" si="2"/>
        <v>4</v>
      </c>
      <c r="I17" s="88" t="s">
        <v>34</v>
      </c>
      <c r="J17" s="89">
        <f t="array" ref="J17">IFS(I17="Completo",100%,I17="Não iniciado",0%,I17="Em Progresso",50%)</f>
        <v>1</v>
      </c>
      <c r="K17" s="88" t="s">
        <v>56</v>
      </c>
      <c r="L17" s="4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91"/>
      <c r="EF17" s="91"/>
      <c r="EG17" s="91"/>
      <c r="EH17" s="91"/>
      <c r="EI17" s="91"/>
      <c r="EJ17" s="91"/>
      <c r="EK17" s="91"/>
      <c r="EL17" s="91"/>
      <c r="EM17" s="91"/>
      <c r="EN17" s="91"/>
      <c r="EO17" s="91"/>
      <c r="EP17" s="91"/>
      <c r="EQ17" s="91"/>
      <c r="ER17" s="91"/>
      <c r="ES17" s="91"/>
      <c r="ET17" s="91"/>
      <c r="EU17" s="91"/>
      <c r="EV17" s="91"/>
      <c r="EW17" s="91"/>
      <c r="EX17" s="91"/>
      <c r="EY17" s="91"/>
      <c r="EZ17" s="91"/>
      <c r="FA17" s="91"/>
      <c r="FB17" s="91"/>
      <c r="FC17" s="91"/>
      <c r="FD17" s="91"/>
      <c r="FE17" s="91"/>
      <c r="FF17" s="91"/>
      <c r="FG17" s="91"/>
      <c r="FH17" s="91"/>
      <c r="FI17" s="91"/>
      <c r="FJ17" s="91"/>
      <c r="FK17" s="91"/>
      <c r="FL17" s="91"/>
      <c r="FM17" s="91"/>
      <c r="FN17" s="91"/>
      <c r="FO17" s="91"/>
      <c r="FP17" s="91"/>
      <c r="FQ17" s="91"/>
      <c r="FR17" s="91"/>
      <c r="FS17" s="91"/>
      <c r="FT17" s="91"/>
      <c r="FU17" s="91"/>
      <c r="FV17" s="91"/>
      <c r="FW17" s="91"/>
      <c r="FX17" s="91"/>
      <c r="FY17" s="91"/>
      <c r="FZ17" s="91"/>
      <c r="GA17" s="91"/>
      <c r="GB17" s="91"/>
      <c r="GC17" s="91"/>
      <c r="GD17" s="91"/>
      <c r="GE17" s="91"/>
      <c r="GF17" s="91"/>
      <c r="GG17" s="91"/>
      <c r="GH17" s="91"/>
      <c r="GI17" s="91"/>
      <c r="GJ17" s="91"/>
      <c r="GK17" s="91"/>
      <c r="GL17" s="91"/>
      <c r="GM17" s="91"/>
      <c r="GN17" s="91"/>
      <c r="GO17" s="91"/>
      <c r="GP17" s="91"/>
      <c r="GQ17" s="91"/>
      <c r="GR17" s="91"/>
      <c r="GS17" s="91"/>
      <c r="GT17" s="91"/>
      <c r="GU17" s="91"/>
      <c r="GV17" s="91"/>
      <c r="GW17" s="91"/>
      <c r="GX17" s="91"/>
      <c r="GY17" s="91"/>
      <c r="GZ17" s="91"/>
      <c r="HA17" s="91"/>
      <c r="HB17" s="91"/>
      <c r="HC17" s="91"/>
      <c r="HD17" s="91"/>
      <c r="HE17" s="91"/>
      <c r="HF17" s="91"/>
      <c r="HG17" s="91"/>
      <c r="HH17" s="91"/>
      <c r="HI17" s="91"/>
      <c r="HJ17" s="91"/>
      <c r="HK17" s="91"/>
      <c r="HL17" s="91"/>
      <c r="HM17" s="91"/>
      <c r="HN17" s="91"/>
      <c r="HO17" s="91"/>
      <c r="HP17" s="91"/>
      <c r="HQ17" s="91"/>
      <c r="HR17" s="91"/>
      <c r="HS17" s="91"/>
      <c r="HT17" s="91"/>
      <c r="HU17" s="91"/>
      <c r="HV17" s="91"/>
      <c r="HW17" s="91"/>
      <c r="HX17" s="91"/>
      <c r="HY17" s="91"/>
      <c r="HZ17" s="91"/>
      <c r="IA17" s="91"/>
      <c r="IB17" s="91"/>
      <c r="IC17" s="91"/>
      <c r="ID17" s="91"/>
      <c r="IE17" s="91"/>
      <c r="IF17" s="91"/>
      <c r="IG17" s="91"/>
      <c r="IH17" s="91"/>
    </row>
    <row r="18">
      <c r="A18" s="4"/>
      <c r="B18" s="4"/>
      <c r="C18" s="5" t="s">
        <v>57</v>
      </c>
      <c r="D18" s="7" t="s">
        <v>58</v>
      </c>
      <c r="E18" s="5" t="s">
        <v>59</v>
      </c>
      <c r="F18" s="93">
        <v>46062.0</v>
      </c>
      <c r="G18" s="93">
        <v>46063.0</v>
      </c>
      <c r="H18" s="20">
        <f t="shared" si="2"/>
        <v>1</v>
      </c>
      <c r="I18" s="88" t="s">
        <v>34</v>
      </c>
      <c r="J18" s="89">
        <f t="array" ref="J18">IFS(I18="Completo",100%,I18="Não iniciado",0%,I18="Em Progresso",50%)</f>
        <v>1</v>
      </c>
      <c r="K18" s="88" t="s">
        <v>60</v>
      </c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DY18" s="91"/>
      <c r="DZ18" s="91"/>
      <c r="EA18" s="91"/>
      <c r="EB18" s="91"/>
      <c r="EC18" s="91"/>
      <c r="ED18" s="91"/>
      <c r="EE18" s="91"/>
      <c r="EF18" s="91"/>
      <c r="EG18" s="91"/>
      <c r="EH18" s="91"/>
      <c r="EI18" s="91"/>
      <c r="EJ18" s="91"/>
      <c r="EK18" s="91"/>
      <c r="EL18" s="91"/>
      <c r="EM18" s="91"/>
      <c r="EN18" s="91"/>
      <c r="EO18" s="91"/>
      <c r="EP18" s="91"/>
      <c r="EQ18" s="91"/>
      <c r="ER18" s="91"/>
      <c r="ES18" s="91"/>
      <c r="ET18" s="91"/>
      <c r="EU18" s="91"/>
      <c r="EV18" s="91"/>
      <c r="EW18" s="91"/>
      <c r="EX18" s="91"/>
      <c r="EY18" s="91"/>
      <c r="EZ18" s="91"/>
      <c r="FA18" s="91"/>
      <c r="FB18" s="91"/>
      <c r="FC18" s="91"/>
      <c r="FD18" s="91"/>
      <c r="FE18" s="91"/>
      <c r="FF18" s="91"/>
      <c r="FG18" s="91"/>
      <c r="FH18" s="91"/>
      <c r="FI18" s="91"/>
      <c r="FJ18" s="91"/>
      <c r="FK18" s="91"/>
      <c r="FL18" s="91"/>
      <c r="FM18" s="91"/>
      <c r="FN18" s="91"/>
      <c r="FO18" s="91"/>
      <c r="FP18" s="91"/>
      <c r="FQ18" s="91"/>
      <c r="FR18" s="91"/>
      <c r="FS18" s="91"/>
      <c r="FT18" s="91"/>
      <c r="FU18" s="91"/>
      <c r="FV18" s="91"/>
      <c r="FW18" s="91"/>
      <c r="FX18" s="91"/>
      <c r="FY18" s="91"/>
      <c r="FZ18" s="91"/>
      <c r="GA18" s="91"/>
      <c r="GB18" s="91"/>
      <c r="GC18" s="91"/>
      <c r="GD18" s="91"/>
      <c r="GE18" s="91"/>
      <c r="GF18" s="91"/>
      <c r="GG18" s="91"/>
      <c r="GH18" s="91"/>
      <c r="GI18" s="91"/>
      <c r="GJ18" s="91"/>
      <c r="GK18" s="91"/>
      <c r="GL18" s="91"/>
      <c r="GM18" s="91"/>
      <c r="GN18" s="91"/>
      <c r="GO18" s="91"/>
      <c r="GP18" s="91"/>
      <c r="GQ18" s="91"/>
      <c r="GR18" s="91"/>
      <c r="GS18" s="91"/>
      <c r="GT18" s="91"/>
      <c r="GU18" s="91"/>
      <c r="GV18" s="91"/>
      <c r="GW18" s="91"/>
      <c r="GX18" s="91"/>
      <c r="GY18" s="91"/>
      <c r="GZ18" s="91"/>
      <c r="HA18" s="91"/>
      <c r="HB18" s="91"/>
      <c r="HC18" s="91"/>
      <c r="HD18" s="91"/>
      <c r="HE18" s="91"/>
      <c r="HF18" s="91"/>
      <c r="HG18" s="91"/>
      <c r="HH18" s="91"/>
      <c r="HI18" s="91"/>
      <c r="HJ18" s="91"/>
      <c r="HK18" s="91"/>
      <c r="HL18" s="91"/>
      <c r="HM18" s="91"/>
      <c r="HN18" s="91"/>
      <c r="HO18" s="91"/>
      <c r="HP18" s="91"/>
      <c r="HQ18" s="91"/>
      <c r="HR18" s="91"/>
      <c r="HS18" s="91"/>
      <c r="HT18" s="91"/>
      <c r="HU18" s="91"/>
      <c r="HV18" s="91"/>
      <c r="HW18" s="91"/>
      <c r="HX18" s="91"/>
      <c r="HY18" s="91"/>
      <c r="HZ18" s="91"/>
      <c r="IA18" s="91"/>
      <c r="IB18" s="91"/>
      <c r="IC18" s="91"/>
      <c r="ID18" s="91"/>
      <c r="IE18" s="91"/>
      <c r="IF18" s="91"/>
      <c r="IG18" s="91"/>
      <c r="IH18" s="91"/>
    </row>
    <row r="19">
      <c r="A19" s="4"/>
      <c r="B19" s="4"/>
      <c r="C19" s="20" t="s">
        <v>61</v>
      </c>
      <c r="D19" s="7" t="s">
        <v>62</v>
      </c>
      <c r="E19" s="20" t="s">
        <v>46</v>
      </c>
      <c r="F19" s="87">
        <v>46063.0</v>
      </c>
      <c r="G19" s="87">
        <v>46064.0</v>
      </c>
      <c r="H19" s="20">
        <f t="shared" si="2"/>
        <v>1</v>
      </c>
      <c r="I19" s="88" t="s">
        <v>34</v>
      </c>
      <c r="J19" s="89">
        <f t="array" ref="J19">IFS(I19="Completo",100%,I19="Não iniciado",0%,I19="Em Progresso",50%)</f>
        <v>1</v>
      </c>
      <c r="K19" s="89" t="s">
        <v>63</v>
      </c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  <c r="FU19" s="91"/>
      <c r="FV19" s="91"/>
      <c r="FW19" s="91"/>
      <c r="FX19" s="91"/>
      <c r="FY19" s="91"/>
      <c r="FZ19" s="91"/>
      <c r="GA19" s="91"/>
      <c r="GB19" s="91"/>
      <c r="GC19" s="91"/>
      <c r="GD19" s="91"/>
      <c r="GE19" s="91"/>
      <c r="GF19" s="91"/>
      <c r="GG19" s="91"/>
      <c r="GH19" s="91"/>
      <c r="GI19" s="91"/>
      <c r="GJ19" s="91"/>
      <c r="GK19" s="91"/>
      <c r="GL19" s="91"/>
      <c r="GM19" s="91"/>
      <c r="GN19" s="91"/>
      <c r="GO19" s="91"/>
      <c r="GP19" s="91"/>
      <c r="GQ19" s="91"/>
      <c r="GR19" s="91"/>
      <c r="GS19" s="91"/>
      <c r="GT19" s="91"/>
      <c r="GU19" s="91"/>
      <c r="GV19" s="91"/>
      <c r="GW19" s="91"/>
      <c r="GX19" s="91"/>
      <c r="GY19" s="91"/>
      <c r="GZ19" s="91"/>
      <c r="HA19" s="91"/>
      <c r="HB19" s="91"/>
      <c r="HC19" s="91"/>
      <c r="HD19" s="91"/>
      <c r="HE19" s="91"/>
      <c r="HF19" s="91"/>
      <c r="HG19" s="91"/>
      <c r="HH19" s="91"/>
      <c r="HI19" s="91"/>
      <c r="HJ19" s="91"/>
      <c r="HK19" s="91"/>
      <c r="HL19" s="91"/>
      <c r="HM19" s="91"/>
      <c r="HN19" s="91"/>
      <c r="HO19" s="91"/>
      <c r="HP19" s="91"/>
      <c r="HQ19" s="91"/>
      <c r="HR19" s="91"/>
      <c r="HS19" s="91"/>
      <c r="HT19" s="91"/>
      <c r="HU19" s="91"/>
      <c r="HV19" s="91"/>
      <c r="HW19" s="91"/>
      <c r="HX19" s="91"/>
      <c r="HY19" s="91"/>
      <c r="HZ19" s="91"/>
      <c r="IA19" s="91"/>
      <c r="IB19" s="91"/>
      <c r="IC19" s="91"/>
      <c r="ID19" s="91"/>
      <c r="IE19" s="91"/>
      <c r="IF19" s="91"/>
      <c r="IG19" s="91"/>
      <c r="IH19" s="91"/>
    </row>
    <row r="20">
      <c r="A20" s="4"/>
      <c r="B20" s="4"/>
      <c r="C20" s="5" t="s">
        <v>64</v>
      </c>
      <c r="D20" s="7" t="s">
        <v>65</v>
      </c>
      <c r="E20" s="5" t="s">
        <v>59</v>
      </c>
      <c r="F20" s="93">
        <v>46063.0</v>
      </c>
      <c r="G20" s="93">
        <v>46065.0</v>
      </c>
      <c r="H20" s="20">
        <f t="shared" si="2"/>
        <v>2</v>
      </c>
      <c r="I20" s="88" t="s">
        <v>34</v>
      </c>
      <c r="J20" s="89">
        <f t="array" ref="J20">IFS(I20="Completo",100%,I20="Não iniciado",0%,I20="Em Progresso",50%)</f>
        <v>1</v>
      </c>
      <c r="K20" s="88" t="s">
        <v>66</v>
      </c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  <c r="EN20" s="91"/>
      <c r="EO20" s="91"/>
      <c r="EP20" s="91"/>
      <c r="EQ20" s="91"/>
      <c r="ER20" s="91"/>
      <c r="ES20" s="91"/>
      <c r="ET20" s="91"/>
      <c r="EU20" s="91"/>
      <c r="EV20" s="91"/>
      <c r="EW20" s="91"/>
      <c r="EX20" s="91"/>
      <c r="EY20" s="91"/>
      <c r="EZ20" s="91"/>
      <c r="FA20" s="91"/>
      <c r="FB20" s="91"/>
      <c r="FC20" s="91"/>
      <c r="FD20" s="91"/>
      <c r="FE20" s="91"/>
      <c r="FF20" s="91"/>
      <c r="FG20" s="91"/>
      <c r="FH20" s="91"/>
      <c r="FI20" s="91"/>
      <c r="FJ20" s="91"/>
      <c r="FK20" s="91"/>
      <c r="FL20" s="91"/>
      <c r="FM20" s="91"/>
      <c r="FN20" s="91"/>
      <c r="FO20" s="91"/>
      <c r="FP20" s="91"/>
      <c r="FQ20" s="91"/>
      <c r="FR20" s="91"/>
      <c r="FS20" s="91"/>
      <c r="FT20" s="91"/>
      <c r="FU20" s="91"/>
      <c r="FV20" s="91"/>
      <c r="FW20" s="91"/>
      <c r="FX20" s="91"/>
      <c r="FY20" s="91"/>
      <c r="FZ20" s="91"/>
      <c r="GA20" s="91"/>
      <c r="GB20" s="91"/>
      <c r="GC20" s="91"/>
      <c r="GD20" s="91"/>
      <c r="GE20" s="91"/>
      <c r="GF20" s="91"/>
      <c r="GG20" s="91"/>
      <c r="GH20" s="91"/>
      <c r="GI20" s="91"/>
      <c r="GJ20" s="91"/>
      <c r="GK20" s="91"/>
      <c r="GL20" s="91"/>
      <c r="GM20" s="91"/>
      <c r="GN20" s="91"/>
      <c r="GO20" s="91"/>
      <c r="GP20" s="91"/>
      <c r="GQ20" s="91"/>
      <c r="GR20" s="91"/>
      <c r="GS20" s="91"/>
      <c r="GT20" s="91"/>
      <c r="GU20" s="91"/>
      <c r="GV20" s="91"/>
      <c r="GW20" s="91"/>
      <c r="GX20" s="91"/>
      <c r="GY20" s="91"/>
      <c r="GZ20" s="91"/>
      <c r="HA20" s="91"/>
      <c r="HB20" s="91"/>
      <c r="HC20" s="91"/>
      <c r="HD20" s="91"/>
      <c r="HE20" s="91"/>
      <c r="HF20" s="91"/>
      <c r="HG20" s="91"/>
      <c r="HH20" s="91"/>
      <c r="HI20" s="91"/>
      <c r="HJ20" s="91"/>
      <c r="HK20" s="91"/>
      <c r="HL20" s="91"/>
      <c r="HM20" s="91"/>
      <c r="HN20" s="91"/>
      <c r="HO20" s="91"/>
      <c r="HP20" s="91"/>
      <c r="HQ20" s="91"/>
      <c r="HR20" s="91"/>
      <c r="HS20" s="91"/>
      <c r="HT20" s="91"/>
      <c r="HU20" s="91"/>
      <c r="HV20" s="91"/>
      <c r="HW20" s="91"/>
      <c r="HX20" s="91"/>
      <c r="HY20" s="91"/>
      <c r="HZ20" s="91"/>
      <c r="IA20" s="91"/>
      <c r="IB20" s="91"/>
      <c r="IC20" s="91"/>
      <c r="ID20" s="91"/>
      <c r="IE20" s="91"/>
      <c r="IF20" s="91"/>
      <c r="IG20" s="91"/>
      <c r="IH20" s="91"/>
    </row>
    <row r="21" ht="15.75" customHeight="1">
      <c r="A21" s="4"/>
      <c r="B21" s="4"/>
      <c r="C21" s="20" t="s">
        <v>67</v>
      </c>
      <c r="D21" s="7" t="s">
        <v>68</v>
      </c>
      <c r="E21" s="20" t="s">
        <v>46</v>
      </c>
      <c r="F21" s="87">
        <v>46064.0</v>
      </c>
      <c r="G21" s="87">
        <v>46065.0</v>
      </c>
      <c r="H21" s="20">
        <f t="shared" si="2"/>
        <v>1</v>
      </c>
      <c r="I21" s="88" t="s">
        <v>34</v>
      </c>
      <c r="J21" s="89">
        <f t="array" ref="J21">IFS(I21="Completo",100%,I21="Não iniciado",0%,I21="Em Progresso",50%)</f>
        <v>1</v>
      </c>
      <c r="K21" s="89" t="s">
        <v>69</v>
      </c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91"/>
      <c r="DQ21" s="91"/>
      <c r="DR21" s="91"/>
      <c r="DS21" s="91"/>
      <c r="DT21" s="91"/>
      <c r="DU21" s="91"/>
      <c r="DV21" s="91"/>
      <c r="DW21" s="91"/>
      <c r="DX21" s="91"/>
      <c r="DY21" s="91"/>
      <c r="DZ21" s="91"/>
      <c r="EA21" s="91"/>
      <c r="EB21" s="91"/>
      <c r="EC21" s="91"/>
      <c r="ED21" s="91"/>
      <c r="EE21" s="91"/>
      <c r="EF21" s="91"/>
      <c r="EG21" s="91"/>
      <c r="EH21" s="91"/>
      <c r="EI21" s="91"/>
      <c r="EJ21" s="91"/>
      <c r="EK21" s="91"/>
      <c r="EL21" s="91"/>
      <c r="EM21" s="91"/>
      <c r="EN21" s="91"/>
      <c r="EO21" s="91"/>
      <c r="EP21" s="91"/>
      <c r="EQ21" s="91"/>
      <c r="ER21" s="91"/>
      <c r="ES21" s="91"/>
      <c r="ET21" s="91"/>
      <c r="EU21" s="91"/>
      <c r="EV21" s="91"/>
      <c r="EW21" s="91"/>
      <c r="EX21" s="91"/>
      <c r="EY21" s="91"/>
      <c r="EZ21" s="91"/>
      <c r="FA21" s="91"/>
      <c r="FB21" s="91"/>
      <c r="FC21" s="91"/>
      <c r="FD21" s="91"/>
      <c r="FE21" s="91"/>
      <c r="FF21" s="91"/>
      <c r="FG21" s="91"/>
      <c r="FH21" s="91"/>
      <c r="FI21" s="91"/>
      <c r="FJ21" s="91"/>
      <c r="FK21" s="91"/>
      <c r="FL21" s="91"/>
      <c r="FM21" s="91"/>
      <c r="FN21" s="91"/>
      <c r="FO21" s="91"/>
      <c r="FP21" s="91"/>
      <c r="FQ21" s="91"/>
      <c r="FR21" s="91"/>
      <c r="FS21" s="91"/>
      <c r="FT21" s="91"/>
      <c r="FU21" s="91"/>
      <c r="FV21" s="91"/>
      <c r="FW21" s="91"/>
      <c r="FX21" s="91"/>
      <c r="FY21" s="91"/>
      <c r="FZ21" s="91"/>
      <c r="GA21" s="91"/>
      <c r="GB21" s="91"/>
      <c r="GC21" s="91"/>
      <c r="GD21" s="91"/>
      <c r="GE21" s="91"/>
      <c r="GF21" s="91"/>
      <c r="GG21" s="91"/>
      <c r="GH21" s="91"/>
      <c r="GI21" s="91"/>
      <c r="GJ21" s="91"/>
      <c r="GK21" s="91"/>
      <c r="GL21" s="91"/>
      <c r="GM21" s="91"/>
      <c r="GN21" s="91"/>
      <c r="GO21" s="91"/>
      <c r="GP21" s="91"/>
      <c r="GQ21" s="91"/>
      <c r="GR21" s="91"/>
      <c r="GS21" s="91"/>
      <c r="GT21" s="91"/>
      <c r="GU21" s="91"/>
      <c r="GV21" s="91"/>
      <c r="GW21" s="91"/>
      <c r="GX21" s="91"/>
      <c r="GY21" s="91"/>
      <c r="GZ21" s="91"/>
      <c r="HA21" s="91"/>
      <c r="HB21" s="91"/>
      <c r="HC21" s="91"/>
      <c r="HD21" s="91"/>
      <c r="HE21" s="91"/>
      <c r="HF21" s="91"/>
      <c r="HG21" s="91"/>
      <c r="HH21" s="91"/>
      <c r="HI21" s="91"/>
      <c r="HJ21" s="91"/>
      <c r="HK21" s="91"/>
      <c r="HL21" s="91"/>
      <c r="HM21" s="91"/>
      <c r="HN21" s="91"/>
      <c r="HO21" s="91"/>
      <c r="HP21" s="91"/>
      <c r="HQ21" s="91"/>
      <c r="HR21" s="91"/>
      <c r="HS21" s="91"/>
      <c r="HT21" s="91"/>
      <c r="HU21" s="91"/>
      <c r="HV21" s="91"/>
      <c r="HW21" s="91"/>
      <c r="HX21" s="91"/>
      <c r="HY21" s="91"/>
      <c r="HZ21" s="91"/>
      <c r="IA21" s="91"/>
      <c r="IB21" s="91"/>
      <c r="IC21" s="91"/>
      <c r="ID21" s="91"/>
      <c r="IE21" s="91"/>
      <c r="IF21" s="91"/>
      <c r="IG21" s="91"/>
      <c r="IH21" s="91"/>
    </row>
    <row r="22" ht="15.75" customHeight="1">
      <c r="A22" s="4"/>
      <c r="B22" s="4"/>
      <c r="C22" s="5" t="s">
        <v>70</v>
      </c>
      <c r="D22" s="7" t="s">
        <v>71</v>
      </c>
      <c r="E22" s="5" t="s">
        <v>59</v>
      </c>
      <c r="F22" s="93">
        <v>46064.0</v>
      </c>
      <c r="G22" s="93">
        <v>46065.0</v>
      </c>
      <c r="H22" s="20">
        <f t="shared" si="2"/>
        <v>1</v>
      </c>
      <c r="I22" s="88" t="s">
        <v>34</v>
      </c>
      <c r="J22" s="89">
        <f t="array" ref="J22">IFS(I22="Completo",100%,I22="Não iniciado",0%,I22="Em Progresso",50%)</f>
        <v>1</v>
      </c>
      <c r="K22" s="88" t="s">
        <v>72</v>
      </c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1"/>
      <c r="DL22" s="91"/>
      <c r="DM22" s="91"/>
      <c r="DN22" s="91"/>
      <c r="DO22" s="91"/>
      <c r="DP22" s="91"/>
      <c r="DQ22" s="91"/>
      <c r="DR22" s="91"/>
      <c r="DS22" s="91"/>
      <c r="DT22" s="91"/>
      <c r="DU22" s="91"/>
      <c r="DV22" s="91"/>
      <c r="DW22" s="91"/>
      <c r="DX22" s="91"/>
      <c r="DY22" s="91"/>
      <c r="DZ22" s="91"/>
      <c r="EA22" s="91"/>
      <c r="EB22" s="91"/>
      <c r="EC22" s="91"/>
      <c r="ED22" s="91"/>
      <c r="EE22" s="91"/>
      <c r="EF22" s="91"/>
      <c r="EG22" s="91"/>
      <c r="EH22" s="91"/>
      <c r="EI22" s="91"/>
      <c r="EJ22" s="91"/>
      <c r="EK22" s="91"/>
      <c r="EL22" s="91"/>
      <c r="EM22" s="91"/>
      <c r="EN22" s="91"/>
      <c r="EO22" s="91"/>
      <c r="EP22" s="91"/>
      <c r="EQ22" s="91"/>
      <c r="ER22" s="91"/>
      <c r="ES22" s="91"/>
      <c r="ET22" s="91"/>
      <c r="EU22" s="91"/>
      <c r="EV22" s="91"/>
      <c r="EW22" s="91"/>
      <c r="EX22" s="91"/>
      <c r="EY22" s="91"/>
      <c r="EZ22" s="91"/>
      <c r="FA22" s="91"/>
      <c r="FB22" s="91"/>
      <c r="FC22" s="91"/>
      <c r="FD22" s="91"/>
      <c r="FE22" s="91"/>
      <c r="FF22" s="91"/>
      <c r="FG22" s="91"/>
      <c r="FH22" s="91"/>
      <c r="FI22" s="91"/>
      <c r="FJ22" s="91"/>
      <c r="FK22" s="91"/>
      <c r="FL22" s="91"/>
      <c r="FM22" s="91"/>
      <c r="FN22" s="91"/>
      <c r="FO22" s="91"/>
      <c r="FP22" s="91"/>
      <c r="FQ22" s="91"/>
      <c r="FR22" s="91"/>
      <c r="FS22" s="91"/>
      <c r="FT22" s="91"/>
      <c r="FU22" s="91"/>
      <c r="FV22" s="91"/>
      <c r="FW22" s="91"/>
      <c r="FX22" s="91"/>
      <c r="FY22" s="91"/>
      <c r="FZ22" s="91"/>
      <c r="GA22" s="91"/>
      <c r="GB22" s="91"/>
      <c r="GC22" s="91"/>
      <c r="GD22" s="91"/>
      <c r="GE22" s="91"/>
      <c r="GF22" s="91"/>
      <c r="GG22" s="91"/>
      <c r="GH22" s="91"/>
      <c r="GI22" s="91"/>
      <c r="GJ22" s="91"/>
      <c r="GK22" s="91"/>
      <c r="GL22" s="91"/>
      <c r="GM22" s="91"/>
      <c r="GN22" s="91"/>
      <c r="GO22" s="91"/>
      <c r="GP22" s="91"/>
      <c r="GQ22" s="91"/>
      <c r="GR22" s="91"/>
      <c r="GS22" s="91"/>
      <c r="GT22" s="91"/>
      <c r="GU22" s="91"/>
      <c r="GV22" s="91"/>
      <c r="GW22" s="91"/>
      <c r="GX22" s="91"/>
      <c r="GY22" s="91"/>
      <c r="GZ22" s="91"/>
      <c r="HA22" s="91"/>
      <c r="HB22" s="91"/>
      <c r="HC22" s="91"/>
      <c r="HD22" s="91"/>
      <c r="HE22" s="91"/>
      <c r="HF22" s="91"/>
      <c r="HG22" s="91"/>
      <c r="HH22" s="91"/>
      <c r="HI22" s="91"/>
      <c r="HJ22" s="91"/>
      <c r="HK22" s="91"/>
      <c r="HL22" s="91"/>
      <c r="HM22" s="91"/>
      <c r="HN22" s="91"/>
      <c r="HO22" s="91"/>
      <c r="HP22" s="91"/>
      <c r="HQ22" s="91"/>
      <c r="HR22" s="91"/>
      <c r="HS22" s="91"/>
      <c r="HT22" s="91"/>
      <c r="HU22" s="91"/>
      <c r="HV22" s="91"/>
      <c r="HW22" s="91"/>
      <c r="HX22" s="91"/>
      <c r="HY22" s="91"/>
      <c r="HZ22" s="91"/>
      <c r="IA22" s="91"/>
      <c r="IB22" s="91"/>
      <c r="IC22" s="91"/>
      <c r="ID22" s="91"/>
      <c r="IE22" s="91"/>
      <c r="IF22" s="91"/>
      <c r="IG22" s="91"/>
      <c r="IH22" s="91"/>
    </row>
    <row r="23" ht="25.5" customHeight="1">
      <c r="A23" s="4"/>
      <c r="B23" s="4"/>
      <c r="C23" s="20" t="s">
        <v>73</v>
      </c>
      <c r="D23" s="7" t="s">
        <v>74</v>
      </c>
      <c r="E23" s="20" t="s">
        <v>46</v>
      </c>
      <c r="F23" s="87">
        <v>46065.0</v>
      </c>
      <c r="G23" s="87">
        <v>46067.0</v>
      </c>
      <c r="H23" s="20">
        <f t="shared" si="2"/>
        <v>2</v>
      </c>
      <c r="I23" s="88" t="s">
        <v>34</v>
      </c>
      <c r="J23" s="89">
        <f t="array" ref="J23">IFS(I23="Completo",100%,I23="Não iniciado",0%,I23="Em Progresso",50%)</f>
        <v>1</v>
      </c>
      <c r="K23" s="90" t="s">
        <v>75</v>
      </c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1"/>
      <c r="DL23" s="91"/>
      <c r="DM23" s="91"/>
      <c r="DN23" s="91"/>
      <c r="DO23" s="91"/>
      <c r="DP23" s="91"/>
      <c r="DQ23" s="91"/>
      <c r="DR23" s="91"/>
      <c r="DS23" s="91"/>
      <c r="DT23" s="91"/>
      <c r="DU23" s="91"/>
      <c r="DV23" s="91"/>
      <c r="DW23" s="91"/>
      <c r="DX23" s="91"/>
      <c r="DY23" s="91"/>
      <c r="DZ23" s="91"/>
      <c r="EA23" s="91"/>
      <c r="EB23" s="91"/>
      <c r="EC23" s="91"/>
      <c r="ED23" s="91"/>
      <c r="EE23" s="91"/>
      <c r="EF23" s="91"/>
      <c r="EG23" s="91"/>
      <c r="EH23" s="91"/>
      <c r="EI23" s="91"/>
      <c r="EJ23" s="91"/>
      <c r="EK23" s="91"/>
      <c r="EL23" s="91"/>
      <c r="EM23" s="91"/>
      <c r="EN23" s="91"/>
      <c r="EO23" s="91"/>
      <c r="EP23" s="91"/>
      <c r="EQ23" s="91"/>
      <c r="ER23" s="91"/>
      <c r="ES23" s="91"/>
      <c r="ET23" s="91"/>
      <c r="EU23" s="91"/>
      <c r="EV23" s="91"/>
      <c r="EW23" s="91"/>
      <c r="EX23" s="91"/>
      <c r="EY23" s="91"/>
      <c r="EZ23" s="91"/>
      <c r="FA23" s="91"/>
      <c r="FB23" s="91"/>
      <c r="FC23" s="91"/>
      <c r="FD23" s="91"/>
      <c r="FE23" s="91"/>
      <c r="FF23" s="91"/>
      <c r="FG23" s="91"/>
      <c r="FH23" s="91"/>
      <c r="FI23" s="91"/>
      <c r="FJ23" s="91"/>
      <c r="FK23" s="91"/>
      <c r="FL23" s="91"/>
      <c r="FM23" s="91"/>
      <c r="FN23" s="91"/>
      <c r="FO23" s="91"/>
      <c r="FP23" s="91"/>
      <c r="FQ23" s="91"/>
      <c r="FR23" s="91"/>
      <c r="FS23" s="91"/>
      <c r="FT23" s="91"/>
      <c r="FU23" s="91"/>
      <c r="FV23" s="91"/>
      <c r="FW23" s="91"/>
      <c r="FX23" s="91"/>
      <c r="FY23" s="91"/>
      <c r="FZ23" s="91"/>
      <c r="GA23" s="91"/>
      <c r="GB23" s="91"/>
      <c r="GC23" s="91"/>
      <c r="GD23" s="91"/>
      <c r="GE23" s="91"/>
      <c r="GF23" s="91"/>
      <c r="GG23" s="91"/>
      <c r="GH23" s="91"/>
      <c r="GI23" s="91"/>
      <c r="GJ23" s="91"/>
      <c r="GK23" s="91"/>
      <c r="GL23" s="91"/>
      <c r="GM23" s="91"/>
      <c r="GN23" s="91"/>
      <c r="GO23" s="91"/>
      <c r="GP23" s="91"/>
      <c r="GQ23" s="91"/>
      <c r="GR23" s="91"/>
      <c r="GS23" s="91"/>
      <c r="GT23" s="91"/>
      <c r="GU23" s="91"/>
      <c r="GV23" s="91"/>
      <c r="GW23" s="91"/>
      <c r="GX23" s="91"/>
      <c r="GY23" s="91"/>
      <c r="GZ23" s="91"/>
      <c r="HA23" s="91"/>
      <c r="HB23" s="91"/>
      <c r="HC23" s="91"/>
      <c r="HD23" s="91"/>
      <c r="HE23" s="91"/>
      <c r="HF23" s="91"/>
      <c r="HG23" s="91"/>
      <c r="HH23" s="91"/>
      <c r="HI23" s="91"/>
      <c r="HJ23" s="91"/>
      <c r="HK23" s="91"/>
      <c r="HL23" s="91"/>
      <c r="HM23" s="91"/>
      <c r="HN23" s="91"/>
      <c r="HO23" s="91"/>
      <c r="HP23" s="91"/>
      <c r="HQ23" s="91"/>
      <c r="HR23" s="91"/>
      <c r="HS23" s="91"/>
      <c r="HT23" s="91"/>
      <c r="HU23" s="91"/>
      <c r="HV23" s="91"/>
      <c r="HW23" s="91"/>
      <c r="HX23" s="91"/>
      <c r="HY23" s="91"/>
      <c r="HZ23" s="91"/>
      <c r="IA23" s="91"/>
      <c r="IB23" s="91"/>
      <c r="IC23" s="91"/>
      <c r="ID23" s="91"/>
      <c r="IE23" s="91"/>
      <c r="IF23" s="91"/>
      <c r="IG23" s="91"/>
      <c r="IH23" s="91"/>
    </row>
    <row r="24" ht="15.75" customHeight="1">
      <c r="A24" s="4"/>
      <c r="B24" s="4"/>
      <c r="C24" s="5" t="s">
        <v>76</v>
      </c>
      <c r="D24" s="7" t="s">
        <v>77</v>
      </c>
      <c r="E24" s="5" t="s">
        <v>59</v>
      </c>
      <c r="F24" s="93">
        <v>46064.0</v>
      </c>
      <c r="G24" s="93">
        <v>46067.0</v>
      </c>
      <c r="H24" s="20">
        <f t="shared" si="2"/>
        <v>3</v>
      </c>
      <c r="I24" s="88" t="s">
        <v>34</v>
      </c>
      <c r="J24" s="89">
        <f t="array" ref="J24">IFS(I24="Completo",100%,I24="Não iniciado",0%,I24="Em Progresso",50%)</f>
        <v>1</v>
      </c>
      <c r="K24" s="5" t="s">
        <v>78</v>
      </c>
      <c r="L24" s="4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1"/>
      <c r="EF24" s="91"/>
      <c r="EG24" s="91"/>
      <c r="EH24" s="91"/>
      <c r="EI24" s="91"/>
      <c r="EJ24" s="91"/>
      <c r="EK24" s="91"/>
      <c r="EL24" s="91"/>
      <c r="EM24" s="91"/>
      <c r="EN24" s="91"/>
      <c r="EO24" s="91"/>
      <c r="EP24" s="91"/>
      <c r="EQ24" s="91"/>
      <c r="ER24" s="91"/>
      <c r="ES24" s="91"/>
      <c r="ET24" s="91"/>
      <c r="EU24" s="91"/>
      <c r="EV24" s="91"/>
      <c r="EW24" s="91"/>
      <c r="EX24" s="91"/>
      <c r="EY24" s="91"/>
      <c r="EZ24" s="91"/>
      <c r="FA24" s="91"/>
      <c r="FB24" s="91"/>
      <c r="FC24" s="91"/>
      <c r="FD24" s="91"/>
      <c r="FE24" s="91"/>
      <c r="FF24" s="91"/>
      <c r="FG24" s="91"/>
      <c r="FH24" s="91"/>
      <c r="FI24" s="91"/>
      <c r="FJ24" s="91"/>
      <c r="FK24" s="91"/>
      <c r="FL24" s="91"/>
      <c r="FM24" s="91"/>
      <c r="FN24" s="91"/>
      <c r="FO24" s="91"/>
      <c r="FP24" s="91"/>
      <c r="FQ24" s="91"/>
      <c r="FR24" s="91"/>
      <c r="FS24" s="91"/>
      <c r="FT24" s="91"/>
      <c r="FU24" s="91"/>
      <c r="FV24" s="91"/>
      <c r="FW24" s="91"/>
      <c r="FX24" s="91"/>
      <c r="FY24" s="91"/>
      <c r="FZ24" s="91"/>
      <c r="GA24" s="91"/>
      <c r="GB24" s="91"/>
      <c r="GC24" s="91"/>
      <c r="GD24" s="91"/>
      <c r="GE24" s="91"/>
      <c r="GF24" s="91"/>
      <c r="GG24" s="91"/>
      <c r="GH24" s="91"/>
      <c r="GI24" s="91"/>
      <c r="GJ24" s="91"/>
      <c r="GK24" s="91"/>
      <c r="GL24" s="91"/>
      <c r="GM24" s="91"/>
      <c r="GN24" s="91"/>
      <c r="GO24" s="91"/>
      <c r="GP24" s="91"/>
      <c r="GQ24" s="91"/>
      <c r="GR24" s="91"/>
      <c r="GS24" s="91"/>
      <c r="GT24" s="91"/>
      <c r="GU24" s="91"/>
      <c r="GV24" s="91"/>
      <c r="GW24" s="91"/>
      <c r="GX24" s="91"/>
      <c r="GY24" s="91"/>
      <c r="GZ24" s="91"/>
      <c r="HA24" s="91"/>
      <c r="HB24" s="91"/>
      <c r="HC24" s="91"/>
      <c r="HD24" s="91"/>
      <c r="HE24" s="91"/>
      <c r="HF24" s="91"/>
      <c r="HG24" s="91"/>
      <c r="HH24" s="91"/>
      <c r="HI24" s="91"/>
      <c r="HJ24" s="91"/>
      <c r="HK24" s="91"/>
      <c r="HL24" s="91"/>
      <c r="HM24" s="91"/>
      <c r="HN24" s="91"/>
      <c r="HO24" s="91"/>
      <c r="HP24" s="91"/>
      <c r="HQ24" s="91"/>
      <c r="HR24" s="91"/>
      <c r="HS24" s="91"/>
      <c r="HT24" s="91"/>
      <c r="HU24" s="91"/>
      <c r="HV24" s="91"/>
      <c r="HW24" s="91"/>
      <c r="HX24" s="91"/>
      <c r="HY24" s="91"/>
      <c r="HZ24" s="91"/>
      <c r="IA24" s="91"/>
      <c r="IB24" s="91"/>
      <c r="IC24" s="91"/>
      <c r="ID24" s="91"/>
      <c r="IE24" s="91"/>
      <c r="IF24" s="91"/>
      <c r="IG24" s="91"/>
      <c r="IH24" s="91"/>
    </row>
    <row r="25" ht="15.75" customHeight="1">
      <c r="A25" s="4"/>
      <c r="B25" s="4"/>
      <c r="C25" s="5" t="s">
        <v>79</v>
      </c>
      <c r="D25" s="7" t="s">
        <v>80</v>
      </c>
      <c r="E25" s="5" t="s">
        <v>59</v>
      </c>
      <c r="F25" s="93">
        <v>46065.0</v>
      </c>
      <c r="G25" s="93">
        <v>46067.0</v>
      </c>
      <c r="H25" s="20">
        <f t="shared" si="2"/>
        <v>2</v>
      </c>
      <c r="I25" s="88" t="s">
        <v>34</v>
      </c>
      <c r="J25" s="89">
        <f t="array" ref="J25">IFS(I25="Completo",100%,I25="Não iniciado",0%,I25="Em Progresso",50%)</f>
        <v>1</v>
      </c>
      <c r="K25" s="5" t="s">
        <v>81</v>
      </c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</row>
    <row r="26" ht="15.75" customHeight="1">
      <c r="A26" s="4"/>
      <c r="B26" s="4"/>
      <c r="C26" s="20" t="s">
        <v>82</v>
      </c>
      <c r="D26" s="7" t="s">
        <v>83</v>
      </c>
      <c r="E26" s="20" t="s">
        <v>84</v>
      </c>
      <c r="F26" s="87">
        <v>46066.0</v>
      </c>
      <c r="G26" s="87">
        <v>46068.0</v>
      </c>
      <c r="H26" s="20">
        <f t="shared" si="2"/>
        <v>2</v>
      </c>
      <c r="I26" s="88" t="s">
        <v>34</v>
      </c>
      <c r="J26" s="89">
        <f t="array" ref="J26">IFS(I26="Completo",100%,I26="Não iniciado",0%,I26="Em Progresso",50%)</f>
        <v>1</v>
      </c>
      <c r="K26" s="88" t="s">
        <v>85</v>
      </c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  <c r="DL26" s="91"/>
      <c r="DM26" s="91"/>
      <c r="DN26" s="91"/>
      <c r="DO26" s="91"/>
      <c r="DP26" s="91"/>
      <c r="DQ26" s="91"/>
      <c r="DR26" s="91"/>
      <c r="DS26" s="91"/>
      <c r="DT26" s="91"/>
      <c r="DU26" s="91"/>
      <c r="DV26" s="91"/>
      <c r="DW26" s="91"/>
      <c r="DX26" s="91"/>
      <c r="DY26" s="91"/>
      <c r="DZ26" s="91"/>
      <c r="EA26" s="91"/>
      <c r="EB26" s="91"/>
      <c r="EC26" s="91"/>
      <c r="ED26" s="91"/>
      <c r="EE26" s="91"/>
      <c r="EF26" s="91"/>
      <c r="EG26" s="91"/>
      <c r="EH26" s="91"/>
      <c r="EI26" s="91"/>
      <c r="EJ26" s="91"/>
      <c r="EK26" s="91"/>
      <c r="EL26" s="91"/>
      <c r="EM26" s="91"/>
      <c r="EN26" s="91"/>
      <c r="EO26" s="91"/>
      <c r="EP26" s="91"/>
      <c r="EQ26" s="91"/>
      <c r="ER26" s="91"/>
      <c r="ES26" s="91"/>
      <c r="ET26" s="91"/>
      <c r="EU26" s="91"/>
      <c r="EV26" s="91"/>
      <c r="EW26" s="91"/>
      <c r="EX26" s="91"/>
      <c r="EY26" s="91"/>
      <c r="EZ26" s="91"/>
      <c r="FA26" s="91"/>
      <c r="FB26" s="91"/>
      <c r="FC26" s="91"/>
      <c r="FD26" s="91"/>
      <c r="FE26" s="91"/>
      <c r="FF26" s="91"/>
      <c r="FG26" s="91"/>
      <c r="FH26" s="91"/>
      <c r="FI26" s="91"/>
      <c r="FJ26" s="91"/>
      <c r="FK26" s="91"/>
      <c r="FL26" s="91"/>
      <c r="FM26" s="91"/>
      <c r="FN26" s="91"/>
      <c r="FO26" s="91"/>
      <c r="FP26" s="91"/>
      <c r="FQ26" s="91"/>
      <c r="FR26" s="91"/>
      <c r="FS26" s="91"/>
      <c r="FT26" s="91"/>
      <c r="FU26" s="91"/>
      <c r="FV26" s="91"/>
      <c r="FW26" s="91"/>
      <c r="FX26" s="91"/>
      <c r="FY26" s="91"/>
      <c r="FZ26" s="91"/>
      <c r="GA26" s="91"/>
      <c r="GB26" s="91"/>
      <c r="GC26" s="91"/>
      <c r="GD26" s="91"/>
      <c r="GE26" s="91"/>
      <c r="GF26" s="91"/>
      <c r="GG26" s="91"/>
      <c r="GH26" s="91"/>
      <c r="GI26" s="91"/>
      <c r="GJ26" s="91"/>
      <c r="GK26" s="91"/>
      <c r="GL26" s="91"/>
      <c r="GM26" s="91"/>
      <c r="GN26" s="91"/>
      <c r="GO26" s="91"/>
      <c r="GP26" s="91"/>
      <c r="GQ26" s="91"/>
      <c r="GR26" s="91"/>
      <c r="GS26" s="91"/>
      <c r="GT26" s="91"/>
      <c r="GU26" s="91"/>
      <c r="GV26" s="91"/>
      <c r="GW26" s="91"/>
      <c r="GX26" s="91"/>
      <c r="GY26" s="91"/>
      <c r="GZ26" s="91"/>
      <c r="HA26" s="91"/>
      <c r="HB26" s="91"/>
      <c r="HC26" s="91"/>
      <c r="HD26" s="91"/>
      <c r="HE26" s="91"/>
      <c r="HF26" s="91"/>
      <c r="HG26" s="91"/>
      <c r="HH26" s="91"/>
      <c r="HI26" s="91"/>
      <c r="HJ26" s="91"/>
      <c r="HK26" s="91"/>
      <c r="HL26" s="91"/>
      <c r="HM26" s="91"/>
      <c r="HN26" s="91"/>
      <c r="HO26" s="91"/>
      <c r="HP26" s="91"/>
      <c r="HQ26" s="91"/>
      <c r="HR26" s="91"/>
      <c r="HS26" s="91"/>
      <c r="HT26" s="91"/>
      <c r="HU26" s="91"/>
      <c r="HV26" s="91"/>
      <c r="HW26" s="91"/>
      <c r="HX26" s="91"/>
      <c r="HY26" s="91"/>
      <c r="HZ26" s="91"/>
      <c r="IA26" s="91"/>
      <c r="IB26" s="91"/>
      <c r="IC26" s="91"/>
      <c r="ID26" s="91"/>
      <c r="IE26" s="91"/>
      <c r="IF26" s="91"/>
      <c r="IG26" s="91"/>
      <c r="IH26" s="91"/>
    </row>
    <row r="27" ht="15.75" customHeight="1">
      <c r="A27" s="4"/>
      <c r="B27" s="4"/>
      <c r="C27" s="20" t="s">
        <v>86</v>
      </c>
      <c r="D27" s="7" t="s">
        <v>87</v>
      </c>
      <c r="E27" s="20" t="s">
        <v>84</v>
      </c>
      <c r="F27" s="87">
        <v>46067.0</v>
      </c>
      <c r="G27" s="87">
        <v>46069.0</v>
      </c>
      <c r="H27" s="20">
        <f t="shared" si="2"/>
        <v>2</v>
      </c>
      <c r="I27" s="88" t="s">
        <v>34</v>
      </c>
      <c r="J27" s="89">
        <f t="array" ref="J27">IFS(I27="Completo",100%,I27="Não iniciado",0%,I27="Em Progresso",50%)</f>
        <v>1</v>
      </c>
      <c r="K27" s="88" t="s">
        <v>88</v>
      </c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  <c r="DL27" s="91"/>
      <c r="DM27" s="91"/>
      <c r="DN27" s="91"/>
      <c r="DO27" s="91"/>
      <c r="DP27" s="91"/>
      <c r="DQ27" s="91"/>
      <c r="DR27" s="91"/>
      <c r="DS27" s="91"/>
      <c r="DT27" s="91"/>
      <c r="DU27" s="91"/>
      <c r="DV27" s="91"/>
      <c r="DW27" s="91"/>
      <c r="DX27" s="91"/>
      <c r="DY27" s="91"/>
      <c r="DZ27" s="91"/>
      <c r="EA27" s="91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91"/>
      <c r="ER27" s="91"/>
      <c r="ES27" s="91"/>
      <c r="ET27" s="91"/>
      <c r="EU27" s="91"/>
      <c r="EV27" s="91"/>
      <c r="EW27" s="91"/>
      <c r="EX27" s="91"/>
      <c r="EY27" s="91"/>
      <c r="EZ27" s="91"/>
      <c r="FA27" s="91"/>
      <c r="FB27" s="91"/>
      <c r="FC27" s="91"/>
      <c r="FD27" s="91"/>
      <c r="FE27" s="91"/>
      <c r="FF27" s="91"/>
      <c r="FG27" s="91"/>
      <c r="FH27" s="91"/>
      <c r="FI27" s="91"/>
      <c r="FJ27" s="91"/>
      <c r="FK27" s="91"/>
      <c r="FL27" s="91"/>
      <c r="FM27" s="91"/>
      <c r="FN27" s="91"/>
      <c r="FO27" s="91"/>
      <c r="FP27" s="91"/>
      <c r="FQ27" s="91"/>
      <c r="FR27" s="91"/>
      <c r="FS27" s="91"/>
      <c r="FT27" s="91"/>
      <c r="FU27" s="91"/>
      <c r="FV27" s="91"/>
      <c r="FW27" s="91"/>
      <c r="FX27" s="91"/>
      <c r="FY27" s="91"/>
      <c r="FZ27" s="91"/>
      <c r="GA27" s="91"/>
      <c r="GB27" s="91"/>
      <c r="GC27" s="91"/>
      <c r="GD27" s="91"/>
      <c r="GE27" s="91"/>
      <c r="GF27" s="91"/>
      <c r="GG27" s="91"/>
      <c r="GH27" s="91"/>
      <c r="GI27" s="91"/>
      <c r="GJ27" s="91"/>
      <c r="GK27" s="91"/>
      <c r="GL27" s="91"/>
      <c r="GM27" s="91"/>
      <c r="GN27" s="91"/>
      <c r="GO27" s="91"/>
      <c r="GP27" s="91"/>
      <c r="GQ27" s="91"/>
      <c r="GR27" s="91"/>
      <c r="GS27" s="91"/>
      <c r="GT27" s="91"/>
      <c r="GU27" s="91"/>
      <c r="GV27" s="91"/>
      <c r="GW27" s="91"/>
      <c r="GX27" s="91"/>
      <c r="GY27" s="91"/>
      <c r="GZ27" s="91"/>
      <c r="HA27" s="91"/>
      <c r="HB27" s="91"/>
      <c r="HC27" s="91"/>
      <c r="HD27" s="91"/>
      <c r="HE27" s="91"/>
      <c r="HF27" s="91"/>
      <c r="HG27" s="91"/>
      <c r="HH27" s="91"/>
      <c r="HI27" s="91"/>
      <c r="HJ27" s="91"/>
      <c r="HK27" s="91"/>
      <c r="HL27" s="91"/>
      <c r="HM27" s="91"/>
      <c r="HN27" s="91"/>
      <c r="HO27" s="91"/>
      <c r="HP27" s="91"/>
      <c r="HQ27" s="91"/>
      <c r="HR27" s="91"/>
      <c r="HS27" s="91"/>
      <c r="HT27" s="91"/>
      <c r="HU27" s="91"/>
      <c r="HV27" s="91"/>
      <c r="HW27" s="91"/>
      <c r="HX27" s="91"/>
      <c r="HY27" s="91"/>
      <c r="HZ27" s="91"/>
      <c r="IA27" s="91"/>
      <c r="IB27" s="91"/>
      <c r="IC27" s="91"/>
      <c r="ID27" s="91"/>
      <c r="IE27" s="91"/>
      <c r="IF27" s="91"/>
      <c r="IG27" s="91"/>
      <c r="IH27" s="91"/>
    </row>
    <row r="28" ht="27.0" customHeight="1">
      <c r="A28" s="4"/>
      <c r="B28" s="4"/>
      <c r="C28" s="94" t="s">
        <v>89</v>
      </c>
      <c r="D28" s="95" t="s">
        <v>90</v>
      </c>
      <c r="E28" s="94" t="s">
        <v>91</v>
      </c>
      <c r="F28" s="96">
        <v>46070.0</v>
      </c>
      <c r="G28" s="96">
        <v>46073.0</v>
      </c>
      <c r="H28" s="97">
        <f t="shared" si="2"/>
        <v>3</v>
      </c>
      <c r="I28" s="98" t="s">
        <v>34</v>
      </c>
      <c r="J28" s="99">
        <f t="array" ref="J28">IFS(I28="Completo",100%,I28="Não iniciado",0%,I28="Em Progresso",50%)</f>
        <v>1</v>
      </c>
      <c r="K28" s="94" t="s">
        <v>92</v>
      </c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91"/>
      <c r="DW28" s="91"/>
      <c r="DX28" s="91"/>
      <c r="DY28" s="91"/>
      <c r="DZ28" s="91"/>
      <c r="EA28" s="91"/>
      <c r="EB28" s="91"/>
      <c r="EC28" s="91"/>
      <c r="ED28" s="91"/>
      <c r="EE28" s="91"/>
      <c r="EF28" s="91"/>
      <c r="EG28" s="91"/>
      <c r="EH28" s="91"/>
      <c r="EI28" s="91"/>
      <c r="EJ28" s="91"/>
      <c r="EK28" s="91"/>
      <c r="EL28" s="91"/>
      <c r="EM28" s="91"/>
      <c r="EN28" s="91"/>
      <c r="EO28" s="91"/>
      <c r="EP28" s="91"/>
      <c r="EQ28" s="91"/>
      <c r="ER28" s="91"/>
      <c r="ES28" s="91"/>
      <c r="ET28" s="91"/>
      <c r="EU28" s="91"/>
      <c r="EV28" s="91"/>
      <c r="EW28" s="91"/>
      <c r="EX28" s="91"/>
      <c r="EY28" s="91"/>
      <c r="EZ28" s="91"/>
      <c r="FA28" s="91"/>
      <c r="FB28" s="91"/>
      <c r="FC28" s="91"/>
      <c r="FD28" s="91"/>
      <c r="FE28" s="91"/>
      <c r="FF28" s="91"/>
      <c r="FG28" s="91"/>
      <c r="FH28" s="91"/>
      <c r="FI28" s="91"/>
      <c r="FJ28" s="91"/>
      <c r="FK28" s="91"/>
      <c r="FL28" s="91"/>
      <c r="FM28" s="91"/>
      <c r="FN28" s="91"/>
      <c r="FO28" s="91"/>
      <c r="FP28" s="91"/>
      <c r="FQ28" s="91"/>
      <c r="FR28" s="91"/>
      <c r="FS28" s="91"/>
      <c r="FT28" s="91"/>
      <c r="FU28" s="91"/>
      <c r="FV28" s="91"/>
      <c r="FW28" s="91"/>
      <c r="FX28" s="91"/>
      <c r="FY28" s="91"/>
      <c r="FZ28" s="91"/>
      <c r="GA28" s="91"/>
      <c r="GB28" s="91"/>
      <c r="GC28" s="91"/>
      <c r="GD28" s="91"/>
      <c r="GE28" s="91"/>
      <c r="GF28" s="91"/>
      <c r="GG28" s="91"/>
      <c r="GH28" s="91"/>
      <c r="GI28" s="91"/>
      <c r="GJ28" s="91"/>
      <c r="GK28" s="91"/>
      <c r="GL28" s="91"/>
      <c r="GM28" s="91"/>
      <c r="GN28" s="91"/>
      <c r="GO28" s="91"/>
      <c r="GP28" s="91"/>
      <c r="GQ28" s="91"/>
      <c r="GR28" s="91"/>
      <c r="GS28" s="91"/>
      <c r="GT28" s="91"/>
      <c r="GU28" s="91"/>
      <c r="GV28" s="91"/>
      <c r="GW28" s="91"/>
      <c r="GX28" s="91"/>
      <c r="GY28" s="91"/>
      <c r="GZ28" s="91"/>
      <c r="HA28" s="91"/>
      <c r="HB28" s="91"/>
      <c r="HC28" s="91"/>
      <c r="HD28" s="91"/>
      <c r="HE28" s="91"/>
      <c r="HF28" s="91"/>
      <c r="HG28" s="91"/>
      <c r="HH28" s="91"/>
      <c r="HI28" s="91"/>
      <c r="HJ28" s="91"/>
      <c r="HK28" s="91"/>
      <c r="HL28" s="91"/>
      <c r="HM28" s="91"/>
      <c r="HN28" s="91"/>
      <c r="HO28" s="91"/>
      <c r="HP28" s="91"/>
      <c r="HQ28" s="91"/>
      <c r="HR28" s="91"/>
      <c r="HS28" s="91"/>
      <c r="HT28" s="91"/>
      <c r="HU28" s="91"/>
      <c r="HV28" s="91"/>
      <c r="HW28" s="91"/>
      <c r="HX28" s="91"/>
      <c r="HY28" s="91"/>
      <c r="HZ28" s="91"/>
      <c r="IA28" s="91"/>
      <c r="IB28" s="91"/>
      <c r="IC28" s="91"/>
      <c r="ID28" s="91"/>
      <c r="IE28" s="91"/>
      <c r="IF28" s="91"/>
      <c r="IG28" s="91"/>
      <c r="IH28" s="91"/>
    </row>
    <row r="29" ht="27.0" customHeight="1">
      <c r="A29" s="4"/>
      <c r="B29" s="4"/>
      <c r="C29" s="94" t="s">
        <v>93</v>
      </c>
      <c r="D29" s="95" t="s">
        <v>94</v>
      </c>
      <c r="E29" s="94" t="s">
        <v>95</v>
      </c>
      <c r="F29" s="96">
        <v>46074.0</v>
      </c>
      <c r="G29" s="96">
        <v>46079.0</v>
      </c>
      <c r="H29" s="97">
        <f t="shared" si="2"/>
        <v>5</v>
      </c>
      <c r="I29" s="98" t="s">
        <v>34</v>
      </c>
      <c r="J29" s="99">
        <f t="array" ref="J29">IFS(I29="Completo",100%,I29="Não iniciado",0%,I29="Em Progresso",50%)</f>
        <v>1</v>
      </c>
      <c r="K29" s="94" t="s">
        <v>89</v>
      </c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  <c r="DL29" s="91"/>
      <c r="DM29" s="91"/>
      <c r="DN29" s="91"/>
      <c r="DO29" s="91"/>
      <c r="DP29" s="91"/>
      <c r="DQ29" s="91"/>
      <c r="DR29" s="91"/>
      <c r="DS29" s="91"/>
      <c r="DT29" s="91"/>
      <c r="DU29" s="91"/>
      <c r="DV29" s="91"/>
      <c r="DW29" s="91"/>
      <c r="DX29" s="91"/>
      <c r="DY29" s="91"/>
      <c r="DZ29" s="91"/>
      <c r="EA29" s="91"/>
      <c r="EB29" s="91"/>
      <c r="EC29" s="91"/>
      <c r="ED29" s="91"/>
      <c r="EE29" s="91"/>
      <c r="EF29" s="91"/>
      <c r="EG29" s="91"/>
      <c r="EH29" s="91"/>
      <c r="EI29" s="91"/>
      <c r="EJ29" s="91"/>
      <c r="EK29" s="91"/>
      <c r="EL29" s="91"/>
      <c r="EM29" s="91"/>
      <c r="EN29" s="91"/>
      <c r="EO29" s="91"/>
      <c r="EP29" s="91"/>
      <c r="EQ29" s="91"/>
      <c r="ER29" s="91"/>
      <c r="ES29" s="91"/>
      <c r="ET29" s="91"/>
      <c r="EU29" s="91"/>
      <c r="EV29" s="91"/>
      <c r="EW29" s="91"/>
      <c r="EX29" s="91"/>
      <c r="EY29" s="91"/>
      <c r="EZ29" s="91"/>
      <c r="FA29" s="91"/>
      <c r="FB29" s="91"/>
      <c r="FC29" s="91"/>
      <c r="FD29" s="91"/>
      <c r="FE29" s="91"/>
      <c r="FF29" s="91"/>
      <c r="FG29" s="91"/>
      <c r="FH29" s="91"/>
      <c r="FI29" s="91"/>
      <c r="FJ29" s="91"/>
      <c r="FK29" s="91"/>
      <c r="FL29" s="91"/>
      <c r="FM29" s="91"/>
      <c r="FN29" s="91"/>
      <c r="FO29" s="91"/>
      <c r="FP29" s="91"/>
      <c r="FQ29" s="91"/>
      <c r="FR29" s="91"/>
      <c r="FS29" s="91"/>
      <c r="FT29" s="91"/>
      <c r="FU29" s="91"/>
      <c r="FV29" s="91"/>
      <c r="FW29" s="91"/>
      <c r="FX29" s="91"/>
      <c r="FY29" s="91"/>
      <c r="FZ29" s="91"/>
      <c r="GA29" s="91"/>
      <c r="GB29" s="91"/>
      <c r="GC29" s="91"/>
      <c r="GD29" s="91"/>
      <c r="GE29" s="91"/>
      <c r="GF29" s="91"/>
      <c r="GG29" s="91"/>
      <c r="GH29" s="91"/>
      <c r="GI29" s="91"/>
      <c r="GJ29" s="91"/>
      <c r="GK29" s="91"/>
      <c r="GL29" s="91"/>
      <c r="GM29" s="91"/>
      <c r="GN29" s="91"/>
      <c r="GO29" s="91"/>
      <c r="GP29" s="91"/>
      <c r="GQ29" s="91"/>
      <c r="GR29" s="91"/>
      <c r="GS29" s="91"/>
      <c r="GT29" s="91"/>
      <c r="GU29" s="91"/>
      <c r="GV29" s="91"/>
      <c r="GW29" s="91"/>
      <c r="GX29" s="91"/>
      <c r="GY29" s="91"/>
      <c r="GZ29" s="91"/>
      <c r="HA29" s="91"/>
      <c r="HB29" s="91"/>
      <c r="HC29" s="91"/>
      <c r="HD29" s="91"/>
      <c r="HE29" s="91"/>
      <c r="HF29" s="91"/>
      <c r="HG29" s="91"/>
      <c r="HH29" s="91"/>
      <c r="HI29" s="91"/>
      <c r="HJ29" s="91"/>
      <c r="HK29" s="91"/>
      <c r="HL29" s="91"/>
      <c r="HM29" s="91"/>
      <c r="HN29" s="91"/>
      <c r="HO29" s="91"/>
      <c r="HP29" s="91"/>
      <c r="HQ29" s="91"/>
      <c r="HR29" s="91"/>
      <c r="HS29" s="91"/>
      <c r="HT29" s="91"/>
      <c r="HU29" s="91"/>
      <c r="HV29" s="91"/>
      <c r="HW29" s="91"/>
      <c r="HX29" s="91"/>
      <c r="HY29" s="91"/>
      <c r="HZ29" s="91"/>
      <c r="IA29" s="91"/>
      <c r="IB29" s="91"/>
      <c r="IC29" s="91"/>
      <c r="ID29" s="91"/>
      <c r="IE29" s="91"/>
      <c r="IF29" s="91"/>
      <c r="IG29" s="91"/>
      <c r="IH29" s="91"/>
    </row>
    <row r="30" ht="27.0" customHeight="1">
      <c r="A30" s="4"/>
      <c r="B30" s="4"/>
      <c r="C30" s="94" t="s">
        <v>96</v>
      </c>
      <c r="D30" s="95" t="s">
        <v>97</v>
      </c>
      <c r="E30" s="94" t="s">
        <v>95</v>
      </c>
      <c r="F30" s="96">
        <v>46080.0</v>
      </c>
      <c r="G30" s="96">
        <v>46085.0</v>
      </c>
      <c r="H30" s="97">
        <f t="shared" si="2"/>
        <v>5</v>
      </c>
      <c r="I30" s="98" t="s">
        <v>34</v>
      </c>
      <c r="J30" s="99">
        <f t="array" ref="J30">IFS(I30="Completo",100%,I30="Não iniciado",0%,I30="Em Progresso",50%)</f>
        <v>1</v>
      </c>
      <c r="K30" s="94" t="s">
        <v>93</v>
      </c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DY30" s="91"/>
      <c r="DZ30" s="91"/>
      <c r="EA30" s="91"/>
      <c r="EB30" s="91"/>
      <c r="EC30" s="91"/>
      <c r="ED30" s="91"/>
      <c r="EE30" s="91"/>
      <c r="EF30" s="91"/>
      <c r="EG30" s="91"/>
      <c r="EH30" s="91"/>
      <c r="EI30" s="91"/>
      <c r="EJ30" s="91"/>
      <c r="EK30" s="91"/>
      <c r="EL30" s="91"/>
      <c r="EM30" s="91"/>
      <c r="EN30" s="91"/>
      <c r="EO30" s="91"/>
      <c r="EP30" s="91"/>
      <c r="EQ30" s="91"/>
      <c r="ER30" s="91"/>
      <c r="ES30" s="91"/>
      <c r="ET30" s="91"/>
      <c r="EU30" s="91"/>
      <c r="EV30" s="91"/>
      <c r="EW30" s="91"/>
      <c r="EX30" s="91"/>
      <c r="EY30" s="91"/>
      <c r="EZ30" s="91"/>
      <c r="FA30" s="91"/>
      <c r="FB30" s="91"/>
      <c r="FC30" s="91"/>
      <c r="FD30" s="91"/>
      <c r="FE30" s="91"/>
      <c r="FF30" s="91"/>
      <c r="FG30" s="91"/>
      <c r="FH30" s="91"/>
      <c r="FI30" s="91"/>
      <c r="FJ30" s="91"/>
      <c r="FK30" s="91"/>
      <c r="FL30" s="91"/>
      <c r="FM30" s="91"/>
      <c r="FN30" s="91"/>
      <c r="FO30" s="91"/>
      <c r="FP30" s="91"/>
      <c r="FQ30" s="91"/>
      <c r="FR30" s="91"/>
      <c r="FS30" s="91"/>
      <c r="FT30" s="91"/>
      <c r="FU30" s="91"/>
      <c r="FV30" s="91"/>
      <c r="FW30" s="91"/>
      <c r="FX30" s="91"/>
      <c r="FY30" s="91"/>
      <c r="FZ30" s="91"/>
      <c r="GA30" s="91"/>
      <c r="GB30" s="91"/>
      <c r="GC30" s="91"/>
      <c r="GD30" s="91"/>
      <c r="GE30" s="91"/>
      <c r="GF30" s="91"/>
      <c r="GG30" s="91"/>
      <c r="GH30" s="91"/>
      <c r="GI30" s="91"/>
      <c r="GJ30" s="91"/>
      <c r="GK30" s="91"/>
      <c r="GL30" s="91"/>
      <c r="GM30" s="91"/>
      <c r="GN30" s="91"/>
      <c r="GO30" s="91"/>
      <c r="GP30" s="91"/>
      <c r="GQ30" s="91"/>
      <c r="GR30" s="91"/>
      <c r="GS30" s="91"/>
      <c r="GT30" s="91"/>
      <c r="GU30" s="91"/>
      <c r="GV30" s="91"/>
      <c r="GW30" s="91"/>
      <c r="GX30" s="91"/>
      <c r="GY30" s="91"/>
      <c r="GZ30" s="91"/>
      <c r="HA30" s="91"/>
      <c r="HB30" s="91"/>
      <c r="HC30" s="91"/>
      <c r="HD30" s="91"/>
      <c r="HE30" s="91"/>
      <c r="HF30" s="91"/>
      <c r="HG30" s="91"/>
      <c r="HH30" s="91"/>
      <c r="HI30" s="91"/>
      <c r="HJ30" s="91"/>
      <c r="HK30" s="91"/>
      <c r="HL30" s="91"/>
      <c r="HM30" s="91"/>
      <c r="HN30" s="91"/>
      <c r="HO30" s="91"/>
      <c r="HP30" s="91"/>
      <c r="HQ30" s="91"/>
      <c r="HR30" s="91"/>
      <c r="HS30" s="91"/>
      <c r="HT30" s="91"/>
      <c r="HU30" s="91"/>
      <c r="HV30" s="91"/>
      <c r="HW30" s="91"/>
      <c r="HX30" s="91"/>
      <c r="HY30" s="91"/>
      <c r="HZ30" s="91"/>
      <c r="IA30" s="91"/>
      <c r="IB30" s="91"/>
      <c r="IC30" s="91"/>
      <c r="ID30" s="91"/>
      <c r="IE30" s="91"/>
      <c r="IF30" s="91"/>
      <c r="IG30" s="91"/>
      <c r="IH30" s="91"/>
    </row>
    <row r="31" ht="29.25" customHeight="1">
      <c r="A31" s="4"/>
      <c r="B31" s="4"/>
      <c r="C31" s="94" t="s">
        <v>98</v>
      </c>
      <c r="D31" s="95" t="s">
        <v>99</v>
      </c>
      <c r="E31" s="94" t="s">
        <v>91</v>
      </c>
      <c r="F31" s="96">
        <v>46086.0</v>
      </c>
      <c r="G31" s="96">
        <v>46089.0</v>
      </c>
      <c r="H31" s="97">
        <f t="shared" si="2"/>
        <v>3</v>
      </c>
      <c r="I31" s="98" t="s">
        <v>34</v>
      </c>
      <c r="J31" s="99">
        <f t="array" ref="J31">IFS(I31="Completo",100%,I31="Não iniciado",0%,I31="Em Progresso",50%)</f>
        <v>1</v>
      </c>
      <c r="K31" s="94" t="s">
        <v>96</v>
      </c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1"/>
      <c r="DH31" s="91"/>
      <c r="DI31" s="91"/>
      <c r="DJ31" s="91"/>
      <c r="DK31" s="91"/>
      <c r="DL31" s="91"/>
      <c r="DM31" s="91"/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DY31" s="91"/>
      <c r="DZ31" s="91"/>
      <c r="EA31" s="91"/>
      <c r="EB31" s="91"/>
      <c r="EC31" s="91"/>
      <c r="ED31" s="91"/>
      <c r="EE31" s="91"/>
      <c r="EF31" s="91"/>
      <c r="EG31" s="91"/>
      <c r="EH31" s="91"/>
      <c r="EI31" s="91"/>
      <c r="EJ31" s="91"/>
      <c r="EK31" s="91"/>
      <c r="EL31" s="91"/>
      <c r="EM31" s="91"/>
      <c r="EN31" s="91"/>
      <c r="EO31" s="91"/>
      <c r="EP31" s="91"/>
      <c r="EQ31" s="91"/>
      <c r="ER31" s="91"/>
      <c r="ES31" s="91"/>
      <c r="ET31" s="91"/>
      <c r="EU31" s="91"/>
      <c r="EV31" s="91"/>
      <c r="EW31" s="91"/>
      <c r="EX31" s="91"/>
      <c r="EY31" s="91"/>
      <c r="EZ31" s="91"/>
      <c r="FA31" s="91"/>
      <c r="FB31" s="91"/>
      <c r="FC31" s="91"/>
      <c r="FD31" s="91"/>
      <c r="FE31" s="91"/>
      <c r="FF31" s="91"/>
      <c r="FG31" s="91"/>
      <c r="FH31" s="91"/>
      <c r="FI31" s="91"/>
      <c r="FJ31" s="91"/>
      <c r="FK31" s="91"/>
      <c r="FL31" s="91"/>
      <c r="FM31" s="91"/>
      <c r="FN31" s="91"/>
      <c r="FO31" s="91"/>
      <c r="FP31" s="91"/>
      <c r="FQ31" s="91"/>
      <c r="FR31" s="91"/>
      <c r="FS31" s="91"/>
      <c r="FT31" s="91"/>
      <c r="FU31" s="91"/>
      <c r="FV31" s="91"/>
      <c r="FW31" s="91"/>
      <c r="FX31" s="91"/>
      <c r="FY31" s="91"/>
      <c r="FZ31" s="91"/>
      <c r="GA31" s="91"/>
      <c r="GB31" s="91"/>
      <c r="GC31" s="91"/>
      <c r="GD31" s="91"/>
      <c r="GE31" s="91"/>
      <c r="GF31" s="91"/>
      <c r="GG31" s="91"/>
      <c r="GH31" s="91"/>
      <c r="GI31" s="91"/>
      <c r="GJ31" s="91"/>
      <c r="GK31" s="91"/>
      <c r="GL31" s="91"/>
      <c r="GM31" s="91"/>
      <c r="GN31" s="91"/>
      <c r="GO31" s="91"/>
      <c r="GP31" s="91"/>
      <c r="GQ31" s="91"/>
      <c r="GR31" s="91"/>
      <c r="GS31" s="91"/>
      <c r="GT31" s="91"/>
      <c r="GU31" s="91"/>
      <c r="GV31" s="91"/>
      <c r="GW31" s="91"/>
      <c r="GX31" s="91"/>
      <c r="GY31" s="91"/>
      <c r="GZ31" s="91"/>
      <c r="HA31" s="91"/>
      <c r="HB31" s="91"/>
      <c r="HC31" s="91"/>
      <c r="HD31" s="91"/>
      <c r="HE31" s="91"/>
      <c r="HF31" s="91"/>
      <c r="HG31" s="91"/>
      <c r="HH31" s="91"/>
      <c r="HI31" s="91"/>
      <c r="HJ31" s="91"/>
      <c r="HK31" s="91"/>
      <c r="HL31" s="91"/>
      <c r="HM31" s="91"/>
      <c r="HN31" s="91"/>
      <c r="HO31" s="91"/>
      <c r="HP31" s="91"/>
      <c r="HQ31" s="91"/>
      <c r="HR31" s="91"/>
      <c r="HS31" s="91"/>
      <c r="HT31" s="91"/>
      <c r="HU31" s="91"/>
      <c r="HV31" s="91"/>
      <c r="HW31" s="91"/>
      <c r="HX31" s="91"/>
      <c r="HY31" s="91"/>
      <c r="HZ31" s="91"/>
      <c r="IA31" s="91"/>
      <c r="IB31" s="91"/>
      <c r="IC31" s="91"/>
      <c r="ID31" s="91"/>
      <c r="IE31" s="91"/>
      <c r="IF31" s="91"/>
      <c r="IG31" s="91"/>
      <c r="IH31" s="91"/>
    </row>
    <row r="32" ht="15.75" customHeight="1">
      <c r="A32" s="4"/>
      <c r="B32" s="4"/>
      <c r="C32" s="5" t="s">
        <v>100</v>
      </c>
      <c r="D32" s="7" t="s">
        <v>101</v>
      </c>
      <c r="E32" s="5" t="s">
        <v>59</v>
      </c>
      <c r="F32" s="93">
        <v>46087.0</v>
      </c>
      <c r="G32" s="93">
        <v>46089.0</v>
      </c>
      <c r="H32" s="20">
        <f t="shared" si="2"/>
        <v>2</v>
      </c>
      <c r="I32" s="88" t="s">
        <v>34</v>
      </c>
      <c r="J32" s="89">
        <f t="array" ref="J32">IFS(I12="Completo",100%,I12="Não iniciado",0%,I12="Em Progresso",50%)</f>
        <v>1</v>
      </c>
      <c r="K32" s="88" t="s">
        <v>40</v>
      </c>
      <c r="L32" s="4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1"/>
      <c r="EP32" s="91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1"/>
      <c r="FF32" s="91"/>
      <c r="FG32" s="91"/>
      <c r="FH32" s="91"/>
      <c r="FI32" s="91"/>
      <c r="FJ32" s="91"/>
      <c r="FK32" s="91"/>
      <c r="FL32" s="91"/>
      <c r="FM32" s="91"/>
      <c r="FN32" s="91"/>
      <c r="FO32" s="91"/>
      <c r="FP32" s="91"/>
      <c r="FQ32" s="91"/>
      <c r="FR32" s="91"/>
      <c r="FS32" s="91"/>
      <c r="FT32" s="91"/>
      <c r="FU32" s="91"/>
      <c r="FV32" s="91"/>
      <c r="FW32" s="91"/>
      <c r="FX32" s="91"/>
      <c r="FY32" s="91"/>
      <c r="FZ32" s="91"/>
      <c r="GA32" s="91"/>
      <c r="GB32" s="91"/>
      <c r="GC32" s="91"/>
      <c r="GD32" s="91"/>
      <c r="GE32" s="91"/>
      <c r="GF32" s="91"/>
      <c r="GG32" s="91"/>
      <c r="GH32" s="91"/>
      <c r="GI32" s="91"/>
      <c r="GJ32" s="91"/>
      <c r="GK32" s="91"/>
      <c r="GL32" s="91"/>
      <c r="GM32" s="91"/>
      <c r="GN32" s="91"/>
      <c r="GO32" s="91"/>
      <c r="GP32" s="91"/>
      <c r="GQ32" s="91"/>
      <c r="GR32" s="91"/>
      <c r="GS32" s="91"/>
      <c r="GT32" s="91"/>
      <c r="GU32" s="91"/>
      <c r="GV32" s="91"/>
      <c r="GW32" s="91"/>
      <c r="GX32" s="91"/>
      <c r="GY32" s="91"/>
      <c r="GZ32" s="91"/>
      <c r="HA32" s="91"/>
      <c r="HB32" s="91"/>
      <c r="HC32" s="91"/>
      <c r="HD32" s="91"/>
      <c r="HE32" s="91"/>
      <c r="HF32" s="91"/>
      <c r="HG32" s="91"/>
      <c r="HH32" s="91"/>
      <c r="HI32" s="91"/>
      <c r="HJ32" s="91"/>
      <c r="HK32" s="91"/>
      <c r="HL32" s="91"/>
      <c r="HM32" s="91"/>
      <c r="HN32" s="91"/>
      <c r="HO32" s="91"/>
      <c r="HP32" s="91"/>
      <c r="HQ32" s="91"/>
      <c r="HR32" s="91"/>
      <c r="HS32" s="91"/>
      <c r="HT32" s="91"/>
      <c r="HU32" s="91"/>
      <c r="HV32" s="91"/>
      <c r="HW32" s="91"/>
      <c r="HX32" s="91"/>
      <c r="HY32" s="91"/>
      <c r="HZ32" s="91"/>
      <c r="IA32" s="91"/>
      <c r="IB32" s="91"/>
      <c r="IC32" s="91"/>
      <c r="ID32" s="91"/>
      <c r="IE32" s="91"/>
      <c r="IF32" s="91"/>
      <c r="IG32" s="91"/>
      <c r="IH32" s="91"/>
    </row>
    <row r="33" ht="15.75" customHeight="1">
      <c r="A33" s="4"/>
      <c r="B33" s="4"/>
      <c r="C33" s="5" t="s">
        <v>102</v>
      </c>
      <c r="D33" s="7" t="s">
        <v>103</v>
      </c>
      <c r="E33" s="5" t="s">
        <v>59</v>
      </c>
      <c r="F33" s="93">
        <v>46182.0</v>
      </c>
      <c r="G33" s="93">
        <v>46184.0</v>
      </c>
      <c r="H33" s="20">
        <f t="shared" si="2"/>
        <v>2</v>
      </c>
      <c r="I33" s="88" t="s">
        <v>34</v>
      </c>
      <c r="J33" s="89">
        <f t="array" ref="J33">IFS(I13="Completo",100%,I13="Não iniciado",0%,I13="Em Progresso",50%)</f>
        <v>1</v>
      </c>
      <c r="K33" s="88" t="s">
        <v>40</v>
      </c>
      <c r="L33" s="4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1"/>
      <c r="DS33" s="91"/>
      <c r="DT33" s="91"/>
      <c r="DU33" s="91"/>
      <c r="DV33" s="91"/>
      <c r="DW33" s="91"/>
      <c r="DX33" s="91"/>
      <c r="DY33" s="91"/>
      <c r="DZ33" s="91"/>
      <c r="EA33" s="91"/>
      <c r="EB33" s="91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1"/>
      <c r="EQ33" s="91"/>
      <c r="ER33" s="91"/>
      <c r="ES33" s="91"/>
      <c r="ET33" s="91"/>
      <c r="EU33" s="91"/>
      <c r="EV33" s="91"/>
      <c r="EW33" s="91"/>
      <c r="EX33" s="91"/>
      <c r="EY33" s="91"/>
      <c r="EZ33" s="91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1"/>
      <c r="FO33" s="91"/>
      <c r="FP33" s="91"/>
      <c r="FQ33" s="91"/>
      <c r="FR33" s="91"/>
      <c r="FS33" s="91"/>
      <c r="FT33" s="91"/>
      <c r="FU33" s="91"/>
      <c r="FV33" s="91"/>
      <c r="FW33" s="91"/>
      <c r="FX33" s="91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1"/>
      <c r="GM33" s="91"/>
      <c r="GN33" s="91"/>
      <c r="GO33" s="91"/>
      <c r="GP33" s="91"/>
      <c r="GQ33" s="91"/>
      <c r="GR33" s="91"/>
      <c r="GS33" s="91"/>
      <c r="GT33" s="91"/>
      <c r="GU33" s="91"/>
      <c r="GV33" s="91"/>
      <c r="GW33" s="91"/>
      <c r="GX33" s="91"/>
      <c r="GY33" s="91"/>
      <c r="GZ33" s="91"/>
      <c r="HA33" s="91"/>
      <c r="HB33" s="91"/>
      <c r="HC33" s="91"/>
      <c r="HD33" s="91"/>
      <c r="HE33" s="91"/>
      <c r="HF33" s="91"/>
      <c r="HG33" s="91"/>
      <c r="HH33" s="91"/>
      <c r="HI33" s="91"/>
      <c r="HJ33" s="91"/>
      <c r="HK33" s="91"/>
      <c r="HL33" s="91"/>
      <c r="HM33" s="91"/>
      <c r="HN33" s="91"/>
      <c r="HO33" s="91"/>
      <c r="HP33" s="91"/>
      <c r="HQ33" s="91"/>
      <c r="HR33" s="91"/>
      <c r="HS33" s="91"/>
      <c r="HT33" s="91"/>
      <c r="HU33" s="91"/>
      <c r="HV33" s="91"/>
      <c r="HW33" s="91"/>
      <c r="HX33" s="91"/>
      <c r="HY33" s="91"/>
      <c r="HZ33" s="91"/>
      <c r="IA33" s="91"/>
      <c r="IB33" s="91"/>
      <c r="IC33" s="91"/>
      <c r="ID33" s="91"/>
      <c r="IE33" s="91"/>
      <c r="IF33" s="91"/>
      <c r="IG33" s="91"/>
      <c r="IH33" s="91"/>
    </row>
    <row r="34" ht="15.75" customHeight="1">
      <c r="A34" s="4"/>
      <c r="B34" s="4"/>
      <c r="C34" s="5" t="s">
        <v>104</v>
      </c>
      <c r="D34" s="7" t="s">
        <v>105</v>
      </c>
      <c r="E34" s="100" t="s">
        <v>84</v>
      </c>
      <c r="F34" s="93">
        <v>46087.0</v>
      </c>
      <c r="G34" s="93">
        <v>46095.0</v>
      </c>
      <c r="H34" s="20">
        <f t="shared" si="2"/>
        <v>8</v>
      </c>
      <c r="I34" s="88" t="s">
        <v>34</v>
      </c>
      <c r="J34" s="89">
        <f t="array" ref="J34">IFS(I14="Completo",100%,I14="Não iniciado",0%,I14="Em Progresso",50%)</f>
        <v>1</v>
      </c>
      <c r="K34" s="5" t="s">
        <v>106</v>
      </c>
      <c r="L34" s="4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DY34" s="91"/>
      <c r="DZ34" s="91"/>
      <c r="EA34" s="91"/>
      <c r="EB34" s="91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1"/>
      <c r="EQ34" s="91"/>
      <c r="ER34" s="91"/>
      <c r="ES34" s="91"/>
      <c r="ET34" s="91"/>
      <c r="EU34" s="91"/>
      <c r="EV34" s="91"/>
      <c r="EW34" s="91"/>
      <c r="EX34" s="91"/>
      <c r="EY34" s="91"/>
      <c r="EZ34" s="91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1"/>
      <c r="FO34" s="91"/>
      <c r="FP34" s="91"/>
      <c r="FQ34" s="91"/>
      <c r="FR34" s="91"/>
      <c r="FS34" s="91"/>
      <c r="FT34" s="91"/>
      <c r="FU34" s="91"/>
      <c r="FV34" s="91"/>
      <c r="FW34" s="91"/>
      <c r="FX34" s="91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1"/>
      <c r="GM34" s="91"/>
      <c r="GN34" s="91"/>
      <c r="GO34" s="91"/>
      <c r="GP34" s="91"/>
      <c r="GQ34" s="91"/>
      <c r="GR34" s="91"/>
      <c r="GS34" s="91"/>
      <c r="GT34" s="91"/>
      <c r="GU34" s="91"/>
      <c r="GV34" s="91"/>
      <c r="GW34" s="91"/>
      <c r="GX34" s="91"/>
      <c r="GY34" s="91"/>
      <c r="GZ34" s="91"/>
      <c r="HA34" s="91"/>
      <c r="HB34" s="91"/>
      <c r="HC34" s="91"/>
      <c r="HD34" s="91"/>
      <c r="HE34" s="91"/>
      <c r="HF34" s="91"/>
      <c r="HG34" s="91"/>
      <c r="HH34" s="91"/>
      <c r="HI34" s="91"/>
      <c r="HJ34" s="91"/>
      <c r="HK34" s="91"/>
      <c r="HL34" s="91"/>
      <c r="HM34" s="91"/>
      <c r="HN34" s="91"/>
      <c r="HO34" s="91"/>
      <c r="HP34" s="91"/>
      <c r="HQ34" s="91"/>
      <c r="HR34" s="91"/>
      <c r="HS34" s="91"/>
      <c r="HT34" s="91"/>
      <c r="HU34" s="91"/>
      <c r="HV34" s="91"/>
      <c r="HW34" s="91"/>
      <c r="HX34" s="91"/>
      <c r="HY34" s="91"/>
      <c r="HZ34" s="91"/>
      <c r="IA34" s="91"/>
      <c r="IB34" s="91"/>
      <c r="IC34" s="91"/>
      <c r="ID34" s="91"/>
      <c r="IE34" s="91"/>
      <c r="IF34" s="91"/>
      <c r="IG34" s="91"/>
      <c r="IH34" s="91"/>
    </row>
    <row r="35" ht="15.75" customHeight="1">
      <c r="A35" s="4"/>
      <c r="B35" s="4"/>
      <c r="C35" s="20" t="s">
        <v>107</v>
      </c>
      <c r="D35" s="7" t="s">
        <v>108</v>
      </c>
      <c r="E35" s="20" t="s">
        <v>39</v>
      </c>
      <c r="F35" s="87">
        <v>46090.0</v>
      </c>
      <c r="G35" s="87">
        <v>46093.0</v>
      </c>
      <c r="H35" s="20">
        <f t="shared" si="2"/>
        <v>3</v>
      </c>
      <c r="I35" s="88" t="s">
        <v>34</v>
      </c>
      <c r="J35" s="89">
        <f t="array" ref="J35">IFS(I15="Completo",100%,I15="Não iniciado",0%,I15="Em Progresso",50%)</f>
        <v>1</v>
      </c>
      <c r="K35" s="88" t="s">
        <v>109</v>
      </c>
      <c r="L35" s="4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  <c r="EK35" s="91"/>
      <c r="EL35" s="91"/>
      <c r="EM35" s="91"/>
      <c r="EN35" s="91"/>
      <c r="EO35" s="91"/>
      <c r="EP35" s="91"/>
      <c r="EQ35" s="91"/>
      <c r="ER35" s="91"/>
      <c r="ES35" s="91"/>
      <c r="ET35" s="91"/>
      <c r="EU35" s="91"/>
      <c r="EV35" s="91"/>
      <c r="EW35" s="91"/>
      <c r="EX35" s="91"/>
      <c r="EY35" s="91"/>
      <c r="EZ35" s="91"/>
      <c r="FA35" s="91"/>
      <c r="FB35" s="91"/>
      <c r="FC35" s="91"/>
      <c r="FD35" s="91"/>
      <c r="FE35" s="91"/>
      <c r="FF35" s="91"/>
      <c r="FG35" s="91"/>
      <c r="FH35" s="91"/>
      <c r="FI35" s="91"/>
      <c r="FJ35" s="91"/>
      <c r="FK35" s="91"/>
      <c r="FL35" s="91"/>
      <c r="FM35" s="91"/>
      <c r="FN35" s="91"/>
      <c r="FO35" s="91"/>
      <c r="FP35" s="91"/>
      <c r="FQ35" s="91"/>
      <c r="FR35" s="91"/>
      <c r="FS35" s="91"/>
      <c r="FT35" s="91"/>
      <c r="FU35" s="91"/>
      <c r="FV35" s="91"/>
      <c r="FW35" s="91"/>
      <c r="FX35" s="91"/>
      <c r="FY35" s="91"/>
      <c r="FZ35" s="91"/>
      <c r="GA35" s="91"/>
      <c r="GB35" s="91"/>
      <c r="GC35" s="91"/>
      <c r="GD35" s="91"/>
      <c r="GE35" s="91"/>
      <c r="GF35" s="91"/>
      <c r="GG35" s="91"/>
      <c r="GH35" s="91"/>
      <c r="GI35" s="91"/>
      <c r="GJ35" s="91"/>
      <c r="GK35" s="91"/>
      <c r="GL35" s="91"/>
      <c r="GM35" s="91"/>
      <c r="GN35" s="91"/>
      <c r="GO35" s="91"/>
      <c r="GP35" s="91"/>
      <c r="GQ35" s="91"/>
      <c r="GR35" s="91"/>
      <c r="GS35" s="91"/>
      <c r="GT35" s="91"/>
      <c r="GU35" s="91"/>
      <c r="GV35" s="91"/>
      <c r="GW35" s="91"/>
      <c r="GX35" s="91"/>
      <c r="GY35" s="91"/>
      <c r="GZ35" s="91"/>
      <c r="HA35" s="91"/>
      <c r="HB35" s="91"/>
      <c r="HC35" s="91"/>
      <c r="HD35" s="91"/>
      <c r="HE35" s="91"/>
      <c r="HF35" s="91"/>
      <c r="HG35" s="91"/>
      <c r="HH35" s="91"/>
      <c r="HI35" s="91"/>
      <c r="HJ35" s="91"/>
      <c r="HK35" s="91"/>
      <c r="HL35" s="91"/>
      <c r="HM35" s="91"/>
      <c r="HN35" s="91"/>
      <c r="HO35" s="91"/>
      <c r="HP35" s="91"/>
      <c r="HQ35" s="91"/>
      <c r="HR35" s="91"/>
      <c r="HS35" s="91"/>
      <c r="HT35" s="91"/>
      <c r="HU35" s="91"/>
      <c r="HV35" s="91"/>
      <c r="HW35" s="91"/>
      <c r="HX35" s="91"/>
      <c r="HY35" s="91"/>
      <c r="HZ35" s="91"/>
      <c r="IA35" s="91"/>
      <c r="IB35" s="91"/>
      <c r="IC35" s="91"/>
      <c r="ID35" s="91"/>
      <c r="IE35" s="91"/>
      <c r="IF35" s="91"/>
      <c r="IG35" s="91"/>
      <c r="IH35" s="91"/>
    </row>
    <row r="36" ht="17.25" customHeight="1">
      <c r="A36" s="4"/>
      <c r="B36" s="4"/>
      <c r="C36" s="5" t="s">
        <v>110</v>
      </c>
      <c r="D36" s="7" t="s">
        <v>111</v>
      </c>
      <c r="E36" s="5" t="s">
        <v>59</v>
      </c>
      <c r="F36" s="93">
        <v>46094.0</v>
      </c>
      <c r="G36" s="93">
        <v>46098.0</v>
      </c>
      <c r="H36" s="20">
        <f t="shared" si="2"/>
        <v>4</v>
      </c>
      <c r="I36" s="88" t="s">
        <v>34</v>
      </c>
      <c r="J36" s="89">
        <f t="array" ref="J36">IFS(I16="Completo",100%,I16="Não iniciado",0%,I16="Em Progresso",50%)</f>
        <v>1</v>
      </c>
      <c r="K36" s="88" t="s">
        <v>112</v>
      </c>
      <c r="L36" s="4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1"/>
      <c r="EP36" s="91"/>
      <c r="EQ36" s="91"/>
      <c r="ER36" s="91"/>
      <c r="ES36" s="91"/>
      <c r="ET36" s="91"/>
      <c r="EU36" s="91"/>
      <c r="EV36" s="91"/>
      <c r="EW36" s="91"/>
      <c r="EX36" s="91"/>
      <c r="EY36" s="91"/>
      <c r="EZ36" s="91"/>
      <c r="FA36" s="91"/>
      <c r="FB36" s="91"/>
      <c r="FC36" s="91"/>
      <c r="FD36" s="91"/>
      <c r="FE36" s="91"/>
      <c r="FF36" s="91"/>
      <c r="FG36" s="91"/>
      <c r="FH36" s="91"/>
      <c r="FI36" s="91"/>
      <c r="FJ36" s="91"/>
      <c r="FK36" s="91"/>
      <c r="FL36" s="91"/>
      <c r="FM36" s="91"/>
      <c r="FN36" s="91"/>
      <c r="FO36" s="91"/>
      <c r="FP36" s="91"/>
      <c r="FQ36" s="91"/>
      <c r="FR36" s="91"/>
      <c r="FS36" s="91"/>
      <c r="FT36" s="91"/>
      <c r="FU36" s="91"/>
      <c r="FV36" s="91"/>
      <c r="FW36" s="91"/>
      <c r="FX36" s="91"/>
      <c r="FY36" s="91"/>
      <c r="FZ36" s="91"/>
      <c r="GA36" s="91"/>
      <c r="GB36" s="91"/>
      <c r="GC36" s="91"/>
      <c r="GD36" s="91"/>
      <c r="GE36" s="91"/>
      <c r="GF36" s="91"/>
      <c r="GG36" s="91"/>
      <c r="GH36" s="91"/>
      <c r="GI36" s="91"/>
      <c r="GJ36" s="91"/>
      <c r="GK36" s="91"/>
      <c r="GL36" s="91"/>
      <c r="GM36" s="91"/>
      <c r="GN36" s="91"/>
      <c r="GO36" s="91"/>
      <c r="GP36" s="91"/>
      <c r="GQ36" s="91"/>
      <c r="GR36" s="91"/>
      <c r="GS36" s="91"/>
      <c r="GT36" s="91"/>
      <c r="GU36" s="91"/>
      <c r="GV36" s="91"/>
      <c r="GW36" s="91"/>
      <c r="GX36" s="91"/>
      <c r="GY36" s="91"/>
      <c r="GZ36" s="91"/>
      <c r="HA36" s="91"/>
      <c r="HB36" s="91"/>
      <c r="HC36" s="91"/>
      <c r="HD36" s="91"/>
      <c r="HE36" s="91"/>
      <c r="HF36" s="91"/>
      <c r="HG36" s="91"/>
      <c r="HH36" s="91"/>
      <c r="HI36" s="91"/>
      <c r="HJ36" s="91"/>
      <c r="HK36" s="91"/>
      <c r="HL36" s="91"/>
      <c r="HM36" s="91"/>
      <c r="HN36" s="91"/>
      <c r="HO36" s="91"/>
      <c r="HP36" s="91"/>
      <c r="HQ36" s="91"/>
      <c r="HR36" s="91"/>
      <c r="HS36" s="91"/>
      <c r="HT36" s="91"/>
      <c r="HU36" s="91"/>
      <c r="HV36" s="91"/>
      <c r="HW36" s="91"/>
      <c r="HX36" s="91"/>
      <c r="HY36" s="91"/>
      <c r="HZ36" s="91"/>
      <c r="IA36" s="91"/>
      <c r="IB36" s="91"/>
      <c r="IC36" s="91"/>
      <c r="ID36" s="91"/>
      <c r="IE36" s="91"/>
      <c r="IF36" s="91"/>
      <c r="IG36" s="91"/>
      <c r="IH36" s="91"/>
    </row>
    <row r="37" ht="15.75" customHeight="1">
      <c r="A37" s="4"/>
      <c r="B37" s="4"/>
      <c r="C37" s="20" t="s">
        <v>113</v>
      </c>
      <c r="D37" s="7" t="s">
        <v>114</v>
      </c>
      <c r="E37" s="20" t="s">
        <v>84</v>
      </c>
      <c r="F37" s="87">
        <v>46091.0</v>
      </c>
      <c r="G37" s="87">
        <v>46096.0</v>
      </c>
      <c r="H37" s="20">
        <f t="shared" si="2"/>
        <v>5</v>
      </c>
      <c r="I37" s="88" t="s">
        <v>34</v>
      </c>
      <c r="J37" s="89">
        <f t="array" ref="J37">IFS(I17="Completo",100%,I17="Não iniciado",0%,I17="Em Progresso",50%)</f>
        <v>1</v>
      </c>
      <c r="K37" s="88" t="s">
        <v>115</v>
      </c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  <c r="FU37" s="91"/>
      <c r="FV37" s="91"/>
      <c r="FW37" s="91"/>
      <c r="FX37" s="91"/>
      <c r="FY37" s="91"/>
      <c r="FZ37" s="91"/>
      <c r="GA37" s="91"/>
      <c r="GB37" s="91"/>
      <c r="GC37" s="91"/>
      <c r="GD37" s="91"/>
      <c r="GE37" s="91"/>
      <c r="GF37" s="91"/>
      <c r="GG37" s="91"/>
      <c r="GH37" s="91"/>
      <c r="GI37" s="91"/>
      <c r="GJ37" s="91"/>
      <c r="GK37" s="91"/>
      <c r="GL37" s="91"/>
      <c r="GM37" s="91"/>
      <c r="GN37" s="91"/>
      <c r="GO37" s="91"/>
      <c r="GP37" s="91"/>
      <c r="GQ37" s="91"/>
      <c r="GR37" s="91"/>
      <c r="GS37" s="91"/>
      <c r="GT37" s="91"/>
      <c r="GU37" s="91"/>
      <c r="GV37" s="91"/>
      <c r="GW37" s="91"/>
      <c r="GX37" s="91"/>
      <c r="GY37" s="91"/>
      <c r="GZ37" s="91"/>
      <c r="HA37" s="91"/>
      <c r="HB37" s="91"/>
      <c r="HC37" s="91"/>
      <c r="HD37" s="91"/>
      <c r="HE37" s="91"/>
      <c r="HF37" s="91"/>
      <c r="HG37" s="91"/>
      <c r="HH37" s="91"/>
      <c r="HI37" s="91"/>
      <c r="HJ37" s="91"/>
      <c r="HK37" s="91"/>
      <c r="HL37" s="91"/>
      <c r="HM37" s="91"/>
      <c r="HN37" s="91"/>
      <c r="HO37" s="91"/>
      <c r="HP37" s="91"/>
      <c r="HQ37" s="91"/>
      <c r="HR37" s="91"/>
      <c r="HS37" s="91"/>
      <c r="HT37" s="91"/>
      <c r="HU37" s="91"/>
      <c r="HV37" s="91"/>
      <c r="HW37" s="91"/>
      <c r="HX37" s="91"/>
      <c r="HY37" s="91"/>
      <c r="HZ37" s="91"/>
      <c r="IA37" s="91"/>
      <c r="IB37" s="91"/>
      <c r="IC37" s="91"/>
      <c r="ID37" s="91"/>
      <c r="IE37" s="91"/>
      <c r="IF37" s="91"/>
      <c r="IG37" s="91"/>
      <c r="IH37" s="91"/>
    </row>
    <row r="38" ht="15.75" customHeight="1">
      <c r="A38" s="4"/>
      <c r="B38" s="4"/>
      <c r="C38" s="5" t="s">
        <v>116</v>
      </c>
      <c r="D38" s="7" t="s">
        <v>117</v>
      </c>
      <c r="E38" s="5" t="s">
        <v>59</v>
      </c>
      <c r="F38" s="93">
        <v>46091.0</v>
      </c>
      <c r="G38" s="93">
        <v>46098.0</v>
      </c>
      <c r="H38" s="20">
        <f t="shared" si="2"/>
        <v>7</v>
      </c>
      <c r="I38" s="88" t="s">
        <v>34</v>
      </c>
      <c r="J38" s="89">
        <f t="array" ref="J38">IFS(I18="Completo",100%,I18="Não iniciado",0%,I18="Em Progresso",50%)</f>
        <v>1</v>
      </c>
      <c r="K38" s="88" t="s">
        <v>118</v>
      </c>
      <c r="L38" s="4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1"/>
      <c r="EP38" s="91"/>
      <c r="EQ38" s="91"/>
      <c r="ER38" s="91"/>
      <c r="ES38" s="91"/>
      <c r="ET38" s="91"/>
      <c r="EU38" s="91"/>
      <c r="EV38" s="91"/>
      <c r="EW38" s="91"/>
      <c r="EX38" s="91"/>
      <c r="EY38" s="91"/>
      <c r="EZ38" s="91"/>
      <c r="FA38" s="91"/>
      <c r="FB38" s="91"/>
      <c r="FC38" s="91"/>
      <c r="FD38" s="91"/>
      <c r="FE38" s="91"/>
      <c r="FF38" s="91"/>
      <c r="FG38" s="91"/>
      <c r="FH38" s="91"/>
      <c r="FI38" s="91"/>
      <c r="FJ38" s="91"/>
      <c r="FK38" s="91"/>
      <c r="FL38" s="91"/>
      <c r="FM38" s="91"/>
      <c r="FN38" s="91"/>
      <c r="FO38" s="91"/>
      <c r="FP38" s="91"/>
      <c r="FQ38" s="91"/>
      <c r="FR38" s="91"/>
      <c r="FS38" s="91"/>
      <c r="FT38" s="91"/>
      <c r="FU38" s="91"/>
      <c r="FV38" s="91"/>
      <c r="FW38" s="91"/>
      <c r="FX38" s="91"/>
      <c r="FY38" s="91"/>
      <c r="FZ38" s="91"/>
      <c r="GA38" s="91"/>
      <c r="GB38" s="91"/>
      <c r="GC38" s="91"/>
      <c r="GD38" s="91"/>
      <c r="GE38" s="91"/>
      <c r="GF38" s="91"/>
      <c r="GG38" s="91"/>
      <c r="GH38" s="91"/>
      <c r="GI38" s="91"/>
      <c r="GJ38" s="91"/>
      <c r="GK38" s="91"/>
      <c r="GL38" s="91"/>
      <c r="GM38" s="91"/>
      <c r="GN38" s="91"/>
      <c r="GO38" s="91"/>
      <c r="GP38" s="91"/>
      <c r="GQ38" s="91"/>
      <c r="GR38" s="91"/>
      <c r="GS38" s="91"/>
      <c r="GT38" s="91"/>
      <c r="GU38" s="91"/>
      <c r="GV38" s="91"/>
      <c r="GW38" s="91"/>
      <c r="GX38" s="91"/>
      <c r="GY38" s="91"/>
      <c r="GZ38" s="91"/>
      <c r="HA38" s="91"/>
      <c r="HB38" s="91"/>
      <c r="HC38" s="91"/>
      <c r="HD38" s="91"/>
      <c r="HE38" s="91"/>
      <c r="HF38" s="91"/>
      <c r="HG38" s="91"/>
      <c r="HH38" s="91"/>
      <c r="HI38" s="91"/>
      <c r="HJ38" s="91"/>
      <c r="HK38" s="91"/>
      <c r="HL38" s="91"/>
      <c r="HM38" s="91"/>
      <c r="HN38" s="91"/>
      <c r="HO38" s="91"/>
      <c r="HP38" s="91"/>
      <c r="HQ38" s="91"/>
      <c r="HR38" s="91"/>
      <c r="HS38" s="91"/>
      <c r="HT38" s="91"/>
      <c r="HU38" s="91"/>
      <c r="HV38" s="91"/>
      <c r="HW38" s="91"/>
      <c r="HX38" s="91"/>
      <c r="HY38" s="91"/>
      <c r="HZ38" s="91"/>
      <c r="IA38" s="91"/>
      <c r="IB38" s="91"/>
      <c r="IC38" s="91"/>
      <c r="ID38" s="91"/>
      <c r="IE38" s="91"/>
      <c r="IF38" s="91"/>
      <c r="IG38" s="91"/>
      <c r="IH38" s="91"/>
    </row>
    <row r="39" ht="15.75" customHeight="1">
      <c r="A39" s="4"/>
      <c r="B39" s="4"/>
      <c r="C39" s="20" t="s">
        <v>119</v>
      </c>
      <c r="D39" s="7" t="s">
        <v>120</v>
      </c>
      <c r="E39" s="20" t="s">
        <v>39</v>
      </c>
      <c r="F39" s="87">
        <v>46092.0</v>
      </c>
      <c r="G39" s="87">
        <v>46096.0</v>
      </c>
      <c r="H39" s="20">
        <f t="shared" si="2"/>
        <v>4</v>
      </c>
      <c r="I39" s="88" t="s">
        <v>34</v>
      </c>
      <c r="J39" s="89">
        <f t="array" ref="J39">IFS(I19="Completo",100%,I19="Não iniciado",0%,I19="Em Progresso",50%)</f>
        <v>1</v>
      </c>
      <c r="K39" s="90" t="s">
        <v>121</v>
      </c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91"/>
      <c r="EB39" s="91"/>
      <c r="EC39" s="91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91"/>
      <c r="EO39" s="91"/>
      <c r="EP39" s="91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91"/>
      <c r="FB39" s="91"/>
      <c r="FC39" s="91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91"/>
      <c r="FO39" s="91"/>
      <c r="FP39" s="91"/>
      <c r="FQ39" s="91"/>
      <c r="FR39" s="91"/>
      <c r="FS39" s="91"/>
      <c r="FT39" s="91"/>
      <c r="FU39" s="91"/>
      <c r="FV39" s="91"/>
      <c r="FW39" s="91"/>
      <c r="FX39" s="91"/>
      <c r="FY39" s="91"/>
      <c r="FZ39" s="91"/>
      <c r="GA39" s="91"/>
      <c r="GB39" s="91"/>
      <c r="GC39" s="91"/>
      <c r="GD39" s="91"/>
      <c r="GE39" s="91"/>
      <c r="GF39" s="91"/>
      <c r="GG39" s="91"/>
      <c r="GH39" s="91"/>
      <c r="GI39" s="91"/>
      <c r="GJ39" s="91"/>
      <c r="GK39" s="91"/>
      <c r="GL39" s="91"/>
      <c r="GM39" s="91"/>
      <c r="GN39" s="91"/>
      <c r="GO39" s="91"/>
      <c r="GP39" s="91"/>
      <c r="GQ39" s="91"/>
      <c r="GR39" s="91"/>
      <c r="GS39" s="91"/>
      <c r="GT39" s="91"/>
      <c r="GU39" s="91"/>
      <c r="GV39" s="91"/>
      <c r="GW39" s="91"/>
      <c r="GX39" s="91"/>
      <c r="GY39" s="91"/>
      <c r="GZ39" s="91"/>
      <c r="HA39" s="91"/>
      <c r="HB39" s="91"/>
      <c r="HC39" s="91"/>
      <c r="HD39" s="91"/>
      <c r="HE39" s="91"/>
      <c r="HF39" s="91"/>
      <c r="HG39" s="91"/>
      <c r="HH39" s="91"/>
      <c r="HI39" s="91"/>
      <c r="HJ39" s="91"/>
      <c r="HK39" s="91"/>
      <c r="HL39" s="91"/>
      <c r="HM39" s="91"/>
      <c r="HN39" s="91"/>
      <c r="HO39" s="91"/>
      <c r="HP39" s="91"/>
      <c r="HQ39" s="91"/>
      <c r="HR39" s="91"/>
      <c r="HS39" s="91"/>
      <c r="HT39" s="91"/>
      <c r="HU39" s="91"/>
      <c r="HV39" s="91"/>
      <c r="HW39" s="91"/>
      <c r="HX39" s="91"/>
      <c r="HY39" s="91"/>
      <c r="HZ39" s="91"/>
      <c r="IA39" s="91"/>
      <c r="IB39" s="91"/>
      <c r="IC39" s="91"/>
      <c r="ID39" s="91"/>
      <c r="IE39" s="91"/>
      <c r="IF39" s="91"/>
      <c r="IG39" s="91"/>
      <c r="IH39" s="91"/>
    </row>
    <row r="40" ht="15.75" customHeight="1">
      <c r="A40" s="4"/>
      <c r="B40" s="4"/>
      <c r="C40" s="5" t="s">
        <v>122</v>
      </c>
      <c r="D40" s="7" t="s">
        <v>123</v>
      </c>
      <c r="E40" s="5" t="s">
        <v>39</v>
      </c>
      <c r="F40" s="93">
        <v>46092.0</v>
      </c>
      <c r="G40" s="93">
        <v>46096.0</v>
      </c>
      <c r="H40" s="20">
        <f t="shared" si="2"/>
        <v>4</v>
      </c>
      <c r="I40" s="88" t="s">
        <v>34</v>
      </c>
      <c r="J40" s="89">
        <f t="array" ref="J40">IFS(I20="Completo",100%,I20="Não iniciado",0%,I20="Em Progresso",50%)</f>
        <v>1</v>
      </c>
      <c r="K40" s="88" t="s">
        <v>124</v>
      </c>
      <c r="L40" s="4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91"/>
      <c r="DW40" s="91"/>
      <c r="DX40" s="91"/>
      <c r="DY40" s="91"/>
      <c r="DZ40" s="91"/>
      <c r="EA40" s="91"/>
      <c r="EB40" s="91"/>
      <c r="EC40" s="91"/>
      <c r="ED40" s="91"/>
      <c r="EE40" s="91"/>
      <c r="EF40" s="91"/>
      <c r="EG40" s="91"/>
      <c r="EH40" s="91"/>
      <c r="EI40" s="91"/>
      <c r="EJ40" s="91"/>
      <c r="EK40" s="91"/>
      <c r="EL40" s="91"/>
      <c r="EM40" s="91"/>
      <c r="EN40" s="91"/>
      <c r="EO40" s="91"/>
      <c r="EP40" s="91"/>
      <c r="EQ40" s="91"/>
      <c r="ER40" s="91"/>
      <c r="ES40" s="91"/>
      <c r="ET40" s="91"/>
      <c r="EU40" s="91"/>
      <c r="EV40" s="91"/>
      <c r="EW40" s="91"/>
      <c r="EX40" s="91"/>
      <c r="EY40" s="91"/>
      <c r="EZ40" s="91"/>
      <c r="FA40" s="91"/>
      <c r="FB40" s="91"/>
      <c r="FC40" s="91"/>
      <c r="FD40" s="91"/>
      <c r="FE40" s="91"/>
      <c r="FF40" s="91"/>
      <c r="FG40" s="91"/>
      <c r="FH40" s="91"/>
      <c r="FI40" s="91"/>
      <c r="FJ40" s="91"/>
      <c r="FK40" s="91"/>
      <c r="FL40" s="91"/>
      <c r="FM40" s="91"/>
      <c r="FN40" s="91"/>
      <c r="FO40" s="91"/>
      <c r="FP40" s="91"/>
      <c r="FQ40" s="91"/>
      <c r="FR40" s="91"/>
      <c r="FS40" s="91"/>
      <c r="FT40" s="91"/>
      <c r="FU40" s="91"/>
      <c r="FV40" s="91"/>
      <c r="FW40" s="91"/>
      <c r="FX40" s="91"/>
      <c r="FY40" s="91"/>
      <c r="FZ40" s="91"/>
      <c r="GA40" s="91"/>
      <c r="GB40" s="91"/>
      <c r="GC40" s="91"/>
      <c r="GD40" s="91"/>
      <c r="GE40" s="91"/>
      <c r="GF40" s="91"/>
      <c r="GG40" s="91"/>
      <c r="GH40" s="91"/>
      <c r="GI40" s="91"/>
      <c r="GJ40" s="91"/>
      <c r="GK40" s="91"/>
      <c r="GL40" s="91"/>
      <c r="GM40" s="91"/>
      <c r="GN40" s="91"/>
      <c r="GO40" s="91"/>
      <c r="GP40" s="91"/>
      <c r="GQ40" s="91"/>
      <c r="GR40" s="91"/>
      <c r="GS40" s="91"/>
      <c r="GT40" s="91"/>
      <c r="GU40" s="91"/>
      <c r="GV40" s="91"/>
      <c r="GW40" s="91"/>
      <c r="GX40" s="91"/>
      <c r="GY40" s="91"/>
      <c r="GZ40" s="91"/>
      <c r="HA40" s="91"/>
      <c r="HB40" s="91"/>
      <c r="HC40" s="91"/>
      <c r="HD40" s="91"/>
      <c r="HE40" s="91"/>
      <c r="HF40" s="91"/>
      <c r="HG40" s="91"/>
      <c r="HH40" s="91"/>
      <c r="HI40" s="91"/>
      <c r="HJ40" s="91"/>
      <c r="HK40" s="91"/>
      <c r="HL40" s="91"/>
      <c r="HM40" s="91"/>
      <c r="HN40" s="91"/>
      <c r="HO40" s="91"/>
      <c r="HP40" s="91"/>
      <c r="HQ40" s="91"/>
      <c r="HR40" s="91"/>
      <c r="HS40" s="91"/>
      <c r="HT40" s="91"/>
      <c r="HU40" s="91"/>
      <c r="HV40" s="91"/>
      <c r="HW40" s="91"/>
      <c r="HX40" s="91"/>
      <c r="HY40" s="91"/>
      <c r="HZ40" s="91"/>
      <c r="IA40" s="91"/>
      <c r="IB40" s="91"/>
      <c r="IC40" s="91"/>
      <c r="ID40" s="91"/>
      <c r="IE40" s="91"/>
      <c r="IF40" s="91"/>
      <c r="IG40" s="91"/>
      <c r="IH40" s="91"/>
    </row>
    <row r="41" ht="15.75" customHeight="1">
      <c r="A41" s="4"/>
      <c r="B41" s="4"/>
      <c r="C41" s="20" t="s">
        <v>125</v>
      </c>
      <c r="D41" s="7" t="s">
        <v>126</v>
      </c>
      <c r="E41" s="20" t="s">
        <v>84</v>
      </c>
      <c r="F41" s="87">
        <v>46096.0</v>
      </c>
      <c r="G41" s="87">
        <v>46098.0</v>
      </c>
      <c r="H41" s="20">
        <f t="shared" si="2"/>
        <v>2</v>
      </c>
      <c r="I41" s="88" t="s">
        <v>34</v>
      </c>
      <c r="J41" s="89">
        <f t="array" ref="J41">IFS(I21="Completo",100%,I21="Não iniciado",0%,I21="Em Progresso",50%)</f>
        <v>1</v>
      </c>
      <c r="K41" s="88" t="s">
        <v>127</v>
      </c>
      <c r="L41" s="4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91"/>
      <c r="DB41" s="91"/>
      <c r="DC41" s="91"/>
      <c r="DD41" s="91"/>
      <c r="DE41" s="91"/>
      <c r="DF41" s="91"/>
      <c r="DG41" s="91"/>
      <c r="DH41" s="91"/>
      <c r="DI41" s="91"/>
      <c r="DJ41" s="91"/>
      <c r="DK41" s="91"/>
      <c r="DL41" s="91"/>
      <c r="DM41" s="91"/>
      <c r="DN41" s="91"/>
      <c r="DO41" s="91"/>
      <c r="DP41" s="91"/>
      <c r="DQ41" s="91"/>
      <c r="DR41" s="91"/>
      <c r="DS41" s="91"/>
      <c r="DT41" s="91"/>
      <c r="DU41" s="91"/>
      <c r="DV41" s="91"/>
      <c r="DW41" s="91"/>
      <c r="DX41" s="91"/>
      <c r="DY41" s="91"/>
      <c r="DZ41" s="91"/>
      <c r="EA41" s="91"/>
      <c r="EB41" s="91"/>
      <c r="EC41" s="91"/>
      <c r="ED41" s="91"/>
      <c r="EE41" s="91"/>
      <c r="EF41" s="91"/>
      <c r="EG41" s="91"/>
      <c r="EH41" s="91"/>
      <c r="EI41" s="91"/>
      <c r="EJ41" s="91"/>
      <c r="EK41" s="91"/>
      <c r="EL41" s="91"/>
      <c r="EM41" s="91"/>
      <c r="EN41" s="91"/>
      <c r="EO41" s="91"/>
      <c r="EP41" s="91"/>
      <c r="EQ41" s="91"/>
      <c r="ER41" s="91"/>
      <c r="ES41" s="91"/>
      <c r="ET41" s="91"/>
      <c r="EU41" s="91"/>
      <c r="EV41" s="91"/>
      <c r="EW41" s="91"/>
      <c r="EX41" s="91"/>
      <c r="EY41" s="91"/>
      <c r="EZ41" s="91"/>
      <c r="FA41" s="91"/>
      <c r="FB41" s="91"/>
      <c r="FC41" s="91"/>
      <c r="FD41" s="91"/>
      <c r="FE41" s="91"/>
      <c r="FF41" s="91"/>
      <c r="FG41" s="91"/>
      <c r="FH41" s="91"/>
      <c r="FI41" s="91"/>
      <c r="FJ41" s="91"/>
      <c r="FK41" s="91"/>
      <c r="FL41" s="91"/>
      <c r="FM41" s="91"/>
      <c r="FN41" s="91"/>
      <c r="FO41" s="91"/>
      <c r="FP41" s="91"/>
      <c r="FQ41" s="91"/>
      <c r="FR41" s="91"/>
      <c r="FS41" s="91"/>
      <c r="FT41" s="91"/>
      <c r="FU41" s="91"/>
      <c r="FV41" s="91"/>
      <c r="FW41" s="91"/>
      <c r="FX41" s="91"/>
      <c r="FY41" s="91"/>
      <c r="FZ41" s="91"/>
      <c r="GA41" s="91"/>
      <c r="GB41" s="91"/>
      <c r="GC41" s="91"/>
      <c r="GD41" s="91"/>
      <c r="GE41" s="91"/>
      <c r="GF41" s="91"/>
      <c r="GG41" s="91"/>
      <c r="GH41" s="91"/>
      <c r="GI41" s="91"/>
      <c r="GJ41" s="91"/>
      <c r="GK41" s="91"/>
      <c r="GL41" s="91"/>
      <c r="GM41" s="91"/>
      <c r="GN41" s="91"/>
      <c r="GO41" s="91"/>
      <c r="GP41" s="91"/>
      <c r="GQ41" s="91"/>
      <c r="GR41" s="91"/>
      <c r="GS41" s="91"/>
      <c r="GT41" s="91"/>
      <c r="GU41" s="91"/>
      <c r="GV41" s="91"/>
      <c r="GW41" s="91"/>
      <c r="GX41" s="91"/>
      <c r="GY41" s="91"/>
      <c r="GZ41" s="91"/>
      <c r="HA41" s="91"/>
      <c r="HB41" s="91"/>
      <c r="HC41" s="91"/>
      <c r="HD41" s="91"/>
      <c r="HE41" s="91"/>
      <c r="HF41" s="91"/>
      <c r="HG41" s="91"/>
      <c r="HH41" s="91"/>
      <c r="HI41" s="91"/>
      <c r="HJ41" s="91"/>
      <c r="HK41" s="91"/>
      <c r="HL41" s="91"/>
      <c r="HM41" s="91"/>
      <c r="HN41" s="91"/>
      <c r="HO41" s="91"/>
      <c r="HP41" s="91"/>
      <c r="HQ41" s="91"/>
      <c r="HR41" s="91"/>
      <c r="HS41" s="91"/>
      <c r="HT41" s="91"/>
      <c r="HU41" s="91"/>
      <c r="HV41" s="91"/>
      <c r="HW41" s="91"/>
      <c r="HX41" s="91"/>
      <c r="HY41" s="91"/>
      <c r="HZ41" s="91"/>
      <c r="IA41" s="91"/>
      <c r="IB41" s="91"/>
      <c r="IC41" s="91"/>
      <c r="ID41" s="91"/>
      <c r="IE41" s="91"/>
      <c r="IF41" s="91"/>
      <c r="IG41" s="91"/>
      <c r="IH41" s="91"/>
    </row>
    <row r="42" ht="15.75" customHeight="1">
      <c r="A42" s="4"/>
      <c r="B42" s="4"/>
      <c r="C42" s="20" t="s">
        <v>128</v>
      </c>
      <c r="D42" s="7" t="s">
        <v>129</v>
      </c>
      <c r="E42" s="20" t="s">
        <v>39</v>
      </c>
      <c r="F42" s="87">
        <v>46097.0</v>
      </c>
      <c r="G42" s="87">
        <v>46099.0</v>
      </c>
      <c r="H42" s="20">
        <f t="shared" si="2"/>
        <v>2</v>
      </c>
      <c r="I42" s="88" t="s">
        <v>34</v>
      </c>
      <c r="J42" s="89">
        <f t="array" ref="J42">IFS(I22="Completo",100%,I22="Não iniciado",0%,I22="Em Progresso",50%)</f>
        <v>1</v>
      </c>
      <c r="K42" s="90" t="s">
        <v>130</v>
      </c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DY42" s="91"/>
      <c r="DZ42" s="91"/>
      <c r="EA42" s="91"/>
      <c r="EB42" s="91"/>
      <c r="EC42" s="91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91"/>
      <c r="EO42" s="91"/>
      <c r="EP42" s="91"/>
      <c r="EQ42" s="91"/>
      <c r="ER42" s="91"/>
      <c r="ES42" s="91"/>
      <c r="ET42" s="91"/>
      <c r="EU42" s="91"/>
      <c r="EV42" s="91"/>
      <c r="EW42" s="91"/>
      <c r="EX42" s="91"/>
      <c r="EY42" s="91"/>
      <c r="EZ42" s="91"/>
      <c r="FA42" s="91"/>
      <c r="FB42" s="91"/>
      <c r="FC42" s="91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91"/>
      <c r="FO42" s="91"/>
      <c r="FP42" s="91"/>
      <c r="FQ42" s="91"/>
      <c r="FR42" s="91"/>
      <c r="FS42" s="91"/>
      <c r="FT42" s="91"/>
      <c r="FU42" s="91"/>
      <c r="FV42" s="91"/>
      <c r="FW42" s="91"/>
      <c r="FX42" s="91"/>
      <c r="FY42" s="91"/>
      <c r="FZ42" s="91"/>
      <c r="GA42" s="91"/>
      <c r="GB42" s="91"/>
      <c r="GC42" s="91"/>
      <c r="GD42" s="91"/>
      <c r="GE42" s="91"/>
      <c r="GF42" s="91"/>
      <c r="GG42" s="91"/>
      <c r="GH42" s="91"/>
      <c r="GI42" s="91"/>
      <c r="GJ42" s="91"/>
      <c r="GK42" s="91"/>
      <c r="GL42" s="91"/>
      <c r="GM42" s="91"/>
      <c r="GN42" s="91"/>
      <c r="GO42" s="91"/>
      <c r="GP42" s="91"/>
      <c r="GQ42" s="91"/>
      <c r="GR42" s="91"/>
      <c r="GS42" s="91"/>
      <c r="GT42" s="91"/>
      <c r="GU42" s="91"/>
      <c r="GV42" s="91"/>
      <c r="GW42" s="91"/>
      <c r="GX42" s="91"/>
      <c r="GY42" s="91"/>
      <c r="GZ42" s="91"/>
      <c r="HA42" s="91"/>
      <c r="HB42" s="91"/>
      <c r="HC42" s="91"/>
      <c r="HD42" s="91"/>
      <c r="HE42" s="91"/>
      <c r="HF42" s="91"/>
      <c r="HG42" s="91"/>
      <c r="HH42" s="91"/>
      <c r="HI42" s="91"/>
      <c r="HJ42" s="91"/>
      <c r="HK42" s="91"/>
      <c r="HL42" s="91"/>
      <c r="HM42" s="91"/>
      <c r="HN42" s="91"/>
      <c r="HO42" s="91"/>
      <c r="HP42" s="91"/>
      <c r="HQ42" s="91"/>
      <c r="HR42" s="91"/>
      <c r="HS42" s="91"/>
      <c r="HT42" s="91"/>
      <c r="HU42" s="91"/>
      <c r="HV42" s="91"/>
      <c r="HW42" s="91"/>
      <c r="HX42" s="91"/>
      <c r="HY42" s="91"/>
      <c r="HZ42" s="91"/>
      <c r="IA42" s="91"/>
      <c r="IB42" s="91"/>
      <c r="IC42" s="91"/>
      <c r="ID42" s="91"/>
      <c r="IE42" s="91"/>
      <c r="IF42" s="91"/>
      <c r="IG42" s="91"/>
      <c r="IH42" s="91"/>
    </row>
    <row r="43" ht="36.75" customHeight="1">
      <c r="A43" s="4"/>
      <c r="B43" s="4"/>
      <c r="C43" s="20" t="s">
        <v>131</v>
      </c>
      <c r="D43" s="7" t="s">
        <v>132</v>
      </c>
      <c r="E43" s="20" t="s">
        <v>39</v>
      </c>
      <c r="F43" s="87">
        <v>46097.0</v>
      </c>
      <c r="G43" s="87">
        <v>46105.0</v>
      </c>
      <c r="H43" s="20">
        <f t="shared" si="2"/>
        <v>8</v>
      </c>
      <c r="I43" s="88" t="s">
        <v>34</v>
      </c>
      <c r="J43" s="89">
        <f t="array" ref="J43">IFS(I23="Completo",100%,I23="Não iniciado",0%,I23="Em Progresso",50%)</f>
        <v>1</v>
      </c>
      <c r="K43" s="88" t="s">
        <v>133</v>
      </c>
      <c r="L43" s="4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1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91"/>
      <c r="HB43" s="91"/>
      <c r="HC43" s="91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91"/>
      <c r="HO43" s="91"/>
      <c r="HP43" s="91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91"/>
      <c r="IB43" s="91"/>
      <c r="IC43" s="91"/>
      <c r="ID43" s="91"/>
      <c r="IE43" s="91"/>
      <c r="IF43" s="91"/>
      <c r="IG43" s="91"/>
      <c r="IH43" s="91"/>
    </row>
    <row r="44" ht="15.75" customHeight="1">
      <c r="A44" s="4"/>
      <c r="B44" s="4"/>
      <c r="C44" s="20" t="s">
        <v>134</v>
      </c>
      <c r="D44" s="7" t="s">
        <v>135</v>
      </c>
      <c r="E44" s="20" t="s">
        <v>84</v>
      </c>
      <c r="F44" s="87">
        <v>46098.0</v>
      </c>
      <c r="G44" s="87">
        <v>46101.0</v>
      </c>
      <c r="H44" s="20">
        <f t="shared" si="2"/>
        <v>3</v>
      </c>
      <c r="I44" s="88" t="s">
        <v>34</v>
      </c>
      <c r="J44" s="89">
        <f t="array" ref="J44">IFS(I24="Completo",100%,I24="Não iniciado",0%,I24="Em Progresso",50%)</f>
        <v>1</v>
      </c>
      <c r="K44" s="88" t="s">
        <v>136</v>
      </c>
      <c r="L44" s="4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91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91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91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91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91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  <c r="ID44" s="91"/>
      <c r="IE44" s="91"/>
      <c r="IF44" s="91"/>
      <c r="IG44" s="91"/>
      <c r="IH44" s="91"/>
    </row>
    <row r="45" ht="15.75" customHeight="1">
      <c r="A45" s="4"/>
      <c r="B45" s="4"/>
      <c r="C45" s="20" t="s">
        <v>137</v>
      </c>
      <c r="D45" s="7" t="s">
        <v>138</v>
      </c>
      <c r="E45" s="20" t="s">
        <v>39</v>
      </c>
      <c r="F45" s="87">
        <v>46098.0</v>
      </c>
      <c r="G45" s="87">
        <v>46101.0</v>
      </c>
      <c r="H45" s="20">
        <f t="shared" si="2"/>
        <v>3</v>
      </c>
      <c r="I45" s="88" t="s">
        <v>34</v>
      </c>
      <c r="J45" s="89">
        <f t="array" ref="J45">IFS(I25="Completo",100%,I25="Não iniciado",0%,I25="Em Progresso",50%)</f>
        <v>1</v>
      </c>
      <c r="K45" s="90" t="s">
        <v>139</v>
      </c>
      <c r="L45" s="4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1"/>
      <c r="DS45" s="91"/>
      <c r="DT45" s="91"/>
      <c r="DU45" s="91"/>
      <c r="DV45" s="91"/>
      <c r="DW45" s="91"/>
      <c r="DX45" s="91"/>
      <c r="DY45" s="91"/>
      <c r="DZ45" s="91"/>
      <c r="EA45" s="91"/>
      <c r="EB45" s="91"/>
      <c r="EC45" s="91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91"/>
      <c r="EO45" s="91"/>
      <c r="EP45" s="91"/>
      <c r="EQ45" s="91"/>
      <c r="ER45" s="91"/>
      <c r="ES45" s="91"/>
      <c r="ET45" s="91"/>
      <c r="EU45" s="91"/>
      <c r="EV45" s="91"/>
      <c r="EW45" s="91"/>
      <c r="EX45" s="91"/>
      <c r="EY45" s="91"/>
      <c r="EZ45" s="91"/>
      <c r="FA45" s="91"/>
      <c r="FB45" s="91"/>
      <c r="FC45" s="91"/>
      <c r="FD45" s="91"/>
      <c r="FE45" s="91"/>
      <c r="FF45" s="91"/>
      <c r="FG45" s="91"/>
      <c r="FH45" s="91"/>
      <c r="FI45" s="91"/>
      <c r="FJ45" s="91"/>
      <c r="FK45" s="91"/>
      <c r="FL45" s="91"/>
      <c r="FM45" s="91"/>
      <c r="FN45" s="91"/>
      <c r="FO45" s="91"/>
      <c r="FP45" s="91"/>
      <c r="FQ45" s="91"/>
      <c r="FR45" s="91"/>
      <c r="FS45" s="91"/>
      <c r="FT45" s="91"/>
      <c r="FU45" s="91"/>
      <c r="FV45" s="91"/>
      <c r="FW45" s="91"/>
      <c r="FX45" s="91"/>
      <c r="FY45" s="91"/>
      <c r="FZ45" s="91"/>
      <c r="GA45" s="91"/>
      <c r="GB45" s="91"/>
      <c r="GC45" s="91"/>
      <c r="GD45" s="91"/>
      <c r="GE45" s="91"/>
      <c r="GF45" s="91"/>
      <c r="GG45" s="91"/>
      <c r="GH45" s="91"/>
      <c r="GI45" s="91"/>
      <c r="GJ45" s="91"/>
      <c r="GK45" s="91"/>
      <c r="GL45" s="91"/>
      <c r="GM45" s="91"/>
      <c r="GN45" s="91"/>
      <c r="GO45" s="91"/>
      <c r="GP45" s="91"/>
      <c r="GQ45" s="91"/>
      <c r="GR45" s="91"/>
      <c r="GS45" s="91"/>
      <c r="GT45" s="91"/>
      <c r="GU45" s="91"/>
      <c r="GV45" s="91"/>
      <c r="GW45" s="91"/>
      <c r="GX45" s="91"/>
      <c r="GY45" s="91"/>
      <c r="GZ45" s="91"/>
      <c r="HA45" s="91"/>
      <c r="HB45" s="91"/>
      <c r="HC45" s="91"/>
      <c r="HD45" s="91"/>
      <c r="HE45" s="91"/>
      <c r="HF45" s="91"/>
      <c r="HG45" s="91"/>
      <c r="HH45" s="91"/>
      <c r="HI45" s="91"/>
      <c r="HJ45" s="91"/>
      <c r="HK45" s="91"/>
      <c r="HL45" s="91"/>
      <c r="HM45" s="91"/>
      <c r="HN45" s="91"/>
      <c r="HO45" s="91"/>
      <c r="HP45" s="91"/>
      <c r="HQ45" s="91"/>
      <c r="HR45" s="91"/>
      <c r="HS45" s="91"/>
      <c r="HT45" s="91"/>
      <c r="HU45" s="91"/>
      <c r="HV45" s="91"/>
      <c r="HW45" s="91"/>
      <c r="HX45" s="91"/>
      <c r="HY45" s="91"/>
      <c r="HZ45" s="91"/>
      <c r="IA45" s="91"/>
      <c r="IB45" s="91"/>
      <c r="IC45" s="91"/>
      <c r="ID45" s="91"/>
      <c r="IE45" s="91"/>
      <c r="IF45" s="91"/>
      <c r="IG45" s="91"/>
      <c r="IH45" s="91"/>
    </row>
    <row r="46" ht="15.75" customHeight="1">
      <c r="A46" s="4"/>
      <c r="B46" s="4"/>
      <c r="C46" s="5" t="s">
        <v>140</v>
      </c>
      <c r="D46" s="7" t="s">
        <v>141</v>
      </c>
      <c r="E46" s="5" t="s">
        <v>84</v>
      </c>
      <c r="F46" s="93">
        <v>46100.0</v>
      </c>
      <c r="G46" s="93">
        <v>46103.0</v>
      </c>
      <c r="H46" s="20">
        <f t="shared" si="2"/>
        <v>3</v>
      </c>
      <c r="I46" s="88" t="s">
        <v>34</v>
      </c>
      <c r="J46" s="89">
        <f t="array" ref="J46">IFS(I26="Completo",100%,I26="Não iniciado",0%,I26="Em Progresso",50%)</f>
        <v>1</v>
      </c>
      <c r="K46" s="88" t="s">
        <v>142</v>
      </c>
      <c r="L46" s="4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  <c r="EB46" s="91"/>
      <c r="EC46" s="91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91"/>
      <c r="EO46" s="91"/>
      <c r="EP46" s="91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91"/>
      <c r="FB46" s="91"/>
      <c r="FC46" s="91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91"/>
      <c r="FO46" s="91"/>
      <c r="FP46" s="91"/>
      <c r="FQ46" s="91"/>
      <c r="FR46" s="91"/>
      <c r="FS46" s="91"/>
      <c r="FT46" s="91"/>
      <c r="FU46" s="91"/>
      <c r="FV46" s="91"/>
      <c r="FW46" s="91"/>
      <c r="FX46" s="91"/>
      <c r="FY46" s="91"/>
      <c r="FZ46" s="91"/>
      <c r="GA46" s="91"/>
      <c r="GB46" s="91"/>
      <c r="GC46" s="91"/>
      <c r="GD46" s="91"/>
      <c r="GE46" s="91"/>
      <c r="GF46" s="91"/>
      <c r="GG46" s="91"/>
      <c r="GH46" s="91"/>
      <c r="GI46" s="91"/>
      <c r="GJ46" s="91"/>
      <c r="GK46" s="91"/>
      <c r="GL46" s="91"/>
      <c r="GM46" s="91"/>
      <c r="GN46" s="91"/>
      <c r="GO46" s="91"/>
      <c r="GP46" s="91"/>
      <c r="GQ46" s="91"/>
      <c r="GR46" s="91"/>
      <c r="GS46" s="91"/>
      <c r="GT46" s="91"/>
      <c r="GU46" s="91"/>
      <c r="GV46" s="91"/>
      <c r="GW46" s="91"/>
      <c r="GX46" s="91"/>
      <c r="GY46" s="91"/>
      <c r="GZ46" s="91"/>
      <c r="HA46" s="91"/>
      <c r="HB46" s="91"/>
      <c r="HC46" s="91"/>
      <c r="HD46" s="91"/>
      <c r="HE46" s="91"/>
      <c r="HF46" s="91"/>
      <c r="HG46" s="91"/>
      <c r="HH46" s="91"/>
      <c r="HI46" s="91"/>
      <c r="HJ46" s="91"/>
      <c r="HK46" s="91"/>
      <c r="HL46" s="91"/>
      <c r="HM46" s="91"/>
      <c r="HN46" s="91"/>
      <c r="HO46" s="91"/>
      <c r="HP46" s="91"/>
      <c r="HQ46" s="91"/>
      <c r="HR46" s="91"/>
      <c r="HS46" s="91"/>
      <c r="HT46" s="91"/>
      <c r="HU46" s="91"/>
      <c r="HV46" s="91"/>
      <c r="HW46" s="91"/>
      <c r="HX46" s="91"/>
      <c r="HY46" s="91"/>
      <c r="HZ46" s="91"/>
      <c r="IA46" s="91"/>
      <c r="IB46" s="91"/>
      <c r="IC46" s="91"/>
      <c r="ID46" s="91"/>
      <c r="IE46" s="91"/>
      <c r="IF46" s="91"/>
      <c r="IG46" s="91"/>
      <c r="IH46" s="91"/>
    </row>
    <row r="47" ht="15.75" customHeight="1">
      <c r="A47" s="4"/>
      <c r="B47" s="4"/>
      <c r="C47" s="5" t="s">
        <v>143</v>
      </c>
      <c r="D47" s="7" t="s">
        <v>144</v>
      </c>
      <c r="E47" s="5" t="s">
        <v>59</v>
      </c>
      <c r="F47" s="93">
        <v>46097.0</v>
      </c>
      <c r="G47" s="101">
        <v>46099.0</v>
      </c>
      <c r="H47" s="20">
        <f t="shared" si="2"/>
        <v>2</v>
      </c>
      <c r="I47" s="88" t="s">
        <v>34</v>
      </c>
      <c r="J47" s="89">
        <f t="array" ref="J47">IFS(I27="Completo",100%,I27="Não iniciado",0%,I27="Em Progresso",50%)</f>
        <v>1</v>
      </c>
      <c r="K47" s="88" t="s">
        <v>145</v>
      </c>
      <c r="L47" s="4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91"/>
      <c r="DO47" s="91"/>
      <c r="DP47" s="91"/>
      <c r="DQ47" s="91"/>
      <c r="DR47" s="91"/>
      <c r="DS47" s="91"/>
      <c r="DT47" s="91"/>
      <c r="DU47" s="91"/>
      <c r="DV47" s="91"/>
      <c r="DW47" s="91"/>
      <c r="DX47" s="91"/>
      <c r="DY47" s="91"/>
      <c r="DZ47" s="91"/>
      <c r="EA47" s="91"/>
      <c r="EB47" s="91"/>
      <c r="EC47" s="91"/>
      <c r="ED47" s="91"/>
      <c r="EE47" s="91"/>
      <c r="EF47" s="91"/>
      <c r="EG47" s="91"/>
      <c r="EH47" s="91"/>
      <c r="EI47" s="91"/>
      <c r="EJ47" s="91"/>
      <c r="EK47" s="91"/>
      <c r="EL47" s="91"/>
      <c r="EM47" s="91"/>
      <c r="EN47" s="91"/>
      <c r="EO47" s="91"/>
      <c r="EP47" s="91"/>
      <c r="EQ47" s="91"/>
      <c r="ER47" s="91"/>
      <c r="ES47" s="91"/>
      <c r="ET47" s="91"/>
      <c r="EU47" s="91"/>
      <c r="EV47" s="91"/>
      <c r="EW47" s="91"/>
      <c r="EX47" s="91"/>
      <c r="EY47" s="91"/>
      <c r="EZ47" s="91"/>
      <c r="FA47" s="91"/>
      <c r="FB47" s="91"/>
      <c r="FC47" s="91"/>
      <c r="FD47" s="91"/>
      <c r="FE47" s="91"/>
      <c r="FF47" s="91"/>
      <c r="FG47" s="91"/>
      <c r="FH47" s="91"/>
      <c r="FI47" s="91"/>
      <c r="FJ47" s="91"/>
      <c r="FK47" s="91"/>
      <c r="FL47" s="91"/>
      <c r="FM47" s="91"/>
      <c r="FN47" s="91"/>
      <c r="FO47" s="91"/>
      <c r="FP47" s="91"/>
      <c r="FQ47" s="91"/>
      <c r="FR47" s="91"/>
      <c r="FS47" s="91"/>
      <c r="FT47" s="91"/>
      <c r="FU47" s="91"/>
      <c r="FV47" s="91"/>
      <c r="FW47" s="91"/>
      <c r="FX47" s="91"/>
      <c r="FY47" s="91"/>
      <c r="FZ47" s="91"/>
      <c r="GA47" s="91"/>
      <c r="GB47" s="91"/>
      <c r="GC47" s="91"/>
      <c r="GD47" s="91"/>
      <c r="GE47" s="91"/>
      <c r="GF47" s="91"/>
      <c r="GG47" s="91"/>
      <c r="GH47" s="91"/>
      <c r="GI47" s="91"/>
      <c r="GJ47" s="91"/>
      <c r="GK47" s="91"/>
      <c r="GL47" s="91"/>
      <c r="GM47" s="91"/>
      <c r="GN47" s="91"/>
      <c r="GO47" s="91"/>
      <c r="GP47" s="91"/>
      <c r="GQ47" s="91"/>
      <c r="GR47" s="91"/>
      <c r="GS47" s="91"/>
      <c r="GT47" s="91"/>
      <c r="GU47" s="91"/>
      <c r="GV47" s="91"/>
      <c r="GW47" s="91"/>
      <c r="GX47" s="91"/>
      <c r="GY47" s="91"/>
      <c r="GZ47" s="91"/>
      <c r="HA47" s="91"/>
      <c r="HB47" s="91"/>
      <c r="HC47" s="91"/>
      <c r="HD47" s="91"/>
      <c r="HE47" s="91"/>
      <c r="HF47" s="91"/>
      <c r="HG47" s="91"/>
      <c r="HH47" s="91"/>
      <c r="HI47" s="91"/>
      <c r="HJ47" s="91"/>
      <c r="HK47" s="91"/>
      <c r="HL47" s="91"/>
      <c r="HM47" s="91"/>
      <c r="HN47" s="91"/>
      <c r="HO47" s="91"/>
      <c r="HP47" s="91"/>
      <c r="HQ47" s="91"/>
      <c r="HR47" s="91"/>
      <c r="HS47" s="91"/>
      <c r="HT47" s="91"/>
      <c r="HU47" s="91"/>
      <c r="HV47" s="91"/>
      <c r="HW47" s="91"/>
      <c r="HX47" s="91"/>
      <c r="HY47" s="91"/>
      <c r="HZ47" s="91"/>
      <c r="IA47" s="91"/>
      <c r="IB47" s="91"/>
      <c r="IC47" s="91"/>
      <c r="ID47" s="91"/>
      <c r="IE47" s="91"/>
      <c r="IF47" s="91"/>
      <c r="IG47" s="91"/>
      <c r="IH47" s="91"/>
    </row>
    <row r="48" ht="15.75" customHeight="1">
      <c r="A48" s="4"/>
      <c r="B48" s="4"/>
      <c r="C48" s="5" t="s">
        <v>146</v>
      </c>
      <c r="D48" s="7" t="s">
        <v>147</v>
      </c>
      <c r="E48" s="100" t="s">
        <v>46</v>
      </c>
      <c r="F48" s="93">
        <v>46100.0</v>
      </c>
      <c r="G48" s="93">
        <v>46103.0</v>
      </c>
      <c r="H48" s="20">
        <f t="shared" si="2"/>
        <v>3</v>
      </c>
      <c r="I48" s="88" t="s">
        <v>34</v>
      </c>
      <c r="J48" s="89">
        <f t="array" ref="J48">IFS(I28="Completo",100%,I28="Não iniciado",0%,I28="Em Progresso",50%)</f>
        <v>1</v>
      </c>
      <c r="K48" s="88" t="s">
        <v>148</v>
      </c>
      <c r="L48" s="4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91"/>
      <c r="DW48" s="91"/>
      <c r="DX48" s="91"/>
      <c r="DY48" s="91"/>
      <c r="DZ48" s="91"/>
      <c r="EA48" s="91"/>
      <c r="EB48" s="91"/>
      <c r="EC48" s="91"/>
      <c r="ED48" s="91"/>
      <c r="EE48" s="91"/>
      <c r="EF48" s="91"/>
      <c r="EG48" s="91"/>
      <c r="EH48" s="91"/>
      <c r="EI48" s="91"/>
      <c r="EJ48" s="91"/>
      <c r="EK48" s="91"/>
      <c r="EL48" s="91"/>
      <c r="EM48" s="91"/>
      <c r="EN48" s="91"/>
      <c r="EO48" s="91"/>
      <c r="EP48" s="91"/>
      <c r="EQ48" s="91"/>
      <c r="ER48" s="91"/>
      <c r="ES48" s="91"/>
      <c r="ET48" s="91"/>
      <c r="EU48" s="91"/>
      <c r="EV48" s="91"/>
      <c r="EW48" s="91"/>
      <c r="EX48" s="91"/>
      <c r="EY48" s="91"/>
      <c r="EZ48" s="91"/>
      <c r="FA48" s="91"/>
      <c r="FB48" s="91"/>
      <c r="FC48" s="91"/>
      <c r="FD48" s="91"/>
      <c r="FE48" s="91"/>
      <c r="FF48" s="91"/>
      <c r="FG48" s="91"/>
      <c r="FH48" s="91"/>
      <c r="FI48" s="91"/>
      <c r="FJ48" s="91"/>
      <c r="FK48" s="91"/>
      <c r="FL48" s="91"/>
      <c r="FM48" s="91"/>
      <c r="FN48" s="91"/>
      <c r="FO48" s="91"/>
      <c r="FP48" s="91"/>
      <c r="FQ48" s="91"/>
      <c r="FR48" s="91"/>
      <c r="FS48" s="91"/>
      <c r="FT48" s="91"/>
      <c r="FU48" s="91"/>
      <c r="FV48" s="91"/>
      <c r="FW48" s="91"/>
      <c r="FX48" s="91"/>
      <c r="FY48" s="91"/>
      <c r="FZ48" s="91"/>
      <c r="GA48" s="91"/>
      <c r="GB48" s="91"/>
      <c r="GC48" s="91"/>
      <c r="GD48" s="91"/>
      <c r="GE48" s="91"/>
      <c r="GF48" s="91"/>
      <c r="GG48" s="91"/>
      <c r="GH48" s="91"/>
      <c r="GI48" s="91"/>
      <c r="GJ48" s="91"/>
      <c r="GK48" s="91"/>
      <c r="GL48" s="91"/>
      <c r="GM48" s="91"/>
      <c r="GN48" s="91"/>
      <c r="GO48" s="91"/>
      <c r="GP48" s="91"/>
      <c r="GQ48" s="91"/>
      <c r="GR48" s="91"/>
      <c r="GS48" s="91"/>
      <c r="GT48" s="91"/>
      <c r="GU48" s="91"/>
      <c r="GV48" s="91"/>
      <c r="GW48" s="91"/>
      <c r="GX48" s="91"/>
      <c r="GY48" s="91"/>
      <c r="GZ48" s="91"/>
      <c r="HA48" s="91"/>
      <c r="HB48" s="91"/>
      <c r="HC48" s="91"/>
      <c r="HD48" s="91"/>
      <c r="HE48" s="91"/>
      <c r="HF48" s="91"/>
      <c r="HG48" s="91"/>
      <c r="HH48" s="91"/>
      <c r="HI48" s="91"/>
      <c r="HJ48" s="91"/>
      <c r="HK48" s="91"/>
      <c r="HL48" s="91"/>
      <c r="HM48" s="91"/>
      <c r="HN48" s="91"/>
      <c r="HO48" s="91"/>
      <c r="HP48" s="91"/>
      <c r="HQ48" s="91"/>
      <c r="HR48" s="91"/>
      <c r="HS48" s="91"/>
      <c r="HT48" s="91"/>
      <c r="HU48" s="91"/>
      <c r="HV48" s="91"/>
      <c r="HW48" s="91"/>
      <c r="HX48" s="91"/>
      <c r="HY48" s="91"/>
      <c r="HZ48" s="91"/>
      <c r="IA48" s="91"/>
      <c r="IB48" s="91"/>
      <c r="IC48" s="91"/>
      <c r="ID48" s="91"/>
      <c r="IE48" s="91"/>
      <c r="IF48" s="91"/>
      <c r="IG48" s="91"/>
      <c r="IH48" s="91"/>
    </row>
    <row r="49" ht="15.75" customHeight="1">
      <c r="A49" s="4"/>
      <c r="B49" s="4"/>
      <c r="C49" s="20" t="s">
        <v>149</v>
      </c>
      <c r="D49" s="7" t="s">
        <v>150</v>
      </c>
      <c r="E49" s="20" t="s">
        <v>39</v>
      </c>
      <c r="F49" s="87">
        <v>46104.0</v>
      </c>
      <c r="G49" s="87">
        <v>46108.0</v>
      </c>
      <c r="H49" s="20">
        <f t="shared" si="2"/>
        <v>4</v>
      </c>
      <c r="I49" s="88" t="s">
        <v>34</v>
      </c>
      <c r="J49" s="89">
        <f t="array" ref="J49">IFS(I29="Completo",100%,I29="Não iniciado",0%,I29="Em Progresso",50%)</f>
        <v>1</v>
      </c>
      <c r="K49" s="88" t="s">
        <v>151</v>
      </c>
      <c r="L49" s="4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1"/>
      <c r="DK49" s="91"/>
      <c r="DL49" s="91"/>
      <c r="DM49" s="91"/>
      <c r="DN49" s="91"/>
      <c r="DO49" s="91"/>
      <c r="DP49" s="91"/>
      <c r="DQ49" s="91"/>
      <c r="DR49" s="91"/>
      <c r="DS49" s="91"/>
      <c r="DT49" s="91"/>
      <c r="DU49" s="91"/>
      <c r="DV49" s="91"/>
      <c r="DW49" s="91"/>
      <c r="DX49" s="91"/>
      <c r="DY49" s="91"/>
      <c r="DZ49" s="91"/>
      <c r="EA49" s="91"/>
      <c r="EB49" s="91"/>
      <c r="EC49" s="91"/>
      <c r="ED49" s="91"/>
      <c r="EE49" s="91"/>
      <c r="EF49" s="91"/>
      <c r="EG49" s="91"/>
      <c r="EH49" s="91"/>
      <c r="EI49" s="91"/>
      <c r="EJ49" s="91"/>
      <c r="EK49" s="91"/>
      <c r="EL49" s="91"/>
      <c r="EM49" s="91"/>
      <c r="EN49" s="91"/>
      <c r="EO49" s="91"/>
      <c r="EP49" s="91"/>
      <c r="EQ49" s="91"/>
      <c r="ER49" s="91"/>
      <c r="ES49" s="91"/>
      <c r="ET49" s="91"/>
      <c r="EU49" s="91"/>
      <c r="EV49" s="91"/>
      <c r="EW49" s="91"/>
      <c r="EX49" s="91"/>
      <c r="EY49" s="91"/>
      <c r="EZ49" s="91"/>
      <c r="FA49" s="91"/>
      <c r="FB49" s="91"/>
      <c r="FC49" s="91"/>
      <c r="FD49" s="91"/>
      <c r="FE49" s="91"/>
      <c r="FF49" s="91"/>
      <c r="FG49" s="91"/>
      <c r="FH49" s="91"/>
      <c r="FI49" s="91"/>
      <c r="FJ49" s="91"/>
      <c r="FK49" s="91"/>
      <c r="FL49" s="91"/>
      <c r="FM49" s="91"/>
      <c r="FN49" s="91"/>
      <c r="FO49" s="91"/>
      <c r="FP49" s="91"/>
      <c r="FQ49" s="91"/>
      <c r="FR49" s="91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  <c r="GG49" s="91"/>
      <c r="GH49" s="91"/>
      <c r="GI49" s="91"/>
      <c r="GJ49" s="91"/>
      <c r="GK49" s="91"/>
      <c r="GL49" s="91"/>
      <c r="GM49" s="91"/>
      <c r="GN49" s="91"/>
      <c r="GO49" s="91"/>
      <c r="GP49" s="91"/>
      <c r="GQ49" s="91"/>
      <c r="GR49" s="91"/>
      <c r="GS49" s="91"/>
      <c r="GT49" s="91"/>
      <c r="GU49" s="91"/>
      <c r="GV49" s="91"/>
      <c r="GW49" s="91"/>
      <c r="GX49" s="91"/>
      <c r="GY49" s="91"/>
      <c r="GZ49" s="91"/>
      <c r="HA49" s="91"/>
      <c r="HB49" s="91"/>
      <c r="HC49" s="91"/>
      <c r="HD49" s="91"/>
      <c r="HE49" s="91"/>
      <c r="HF49" s="91"/>
      <c r="HG49" s="91"/>
      <c r="HH49" s="91"/>
      <c r="HI49" s="91"/>
      <c r="HJ49" s="91"/>
      <c r="HK49" s="91"/>
      <c r="HL49" s="91"/>
      <c r="HM49" s="91"/>
      <c r="HN49" s="91"/>
      <c r="HO49" s="91"/>
      <c r="HP49" s="91"/>
      <c r="HQ49" s="91"/>
      <c r="HR49" s="91"/>
      <c r="HS49" s="91"/>
      <c r="HT49" s="91"/>
      <c r="HU49" s="91"/>
      <c r="HV49" s="91"/>
      <c r="HW49" s="91"/>
      <c r="HX49" s="91"/>
      <c r="HY49" s="91"/>
      <c r="HZ49" s="91"/>
      <c r="IA49" s="91"/>
      <c r="IB49" s="91"/>
      <c r="IC49" s="91"/>
      <c r="ID49" s="91"/>
      <c r="IE49" s="91"/>
      <c r="IF49" s="91"/>
      <c r="IG49" s="91"/>
      <c r="IH49" s="91"/>
    </row>
    <row r="50" ht="15.75" customHeight="1">
      <c r="A50" s="4"/>
      <c r="B50" s="4"/>
      <c r="C50" s="20" t="s">
        <v>152</v>
      </c>
      <c r="D50" s="7" t="s">
        <v>153</v>
      </c>
      <c r="E50" s="20" t="s">
        <v>46</v>
      </c>
      <c r="F50" s="87">
        <v>46103.0</v>
      </c>
      <c r="G50" s="87">
        <v>46106.0</v>
      </c>
      <c r="H50" s="20">
        <f t="shared" si="2"/>
        <v>3</v>
      </c>
      <c r="I50" s="88" t="s">
        <v>34</v>
      </c>
      <c r="J50" s="89">
        <f t="array" ref="J50">IFS(I30="Completo",100%,I30="Não iniciado",0%,I30="Em Progresso",50%)</f>
        <v>1</v>
      </c>
      <c r="K50" s="90" t="s">
        <v>154</v>
      </c>
      <c r="L50" s="4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1"/>
      <c r="EO50" s="91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1"/>
      <c r="FM50" s="91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1"/>
      <c r="GK50" s="91"/>
      <c r="GL50" s="91"/>
      <c r="GM50" s="91"/>
      <c r="GN50" s="91"/>
      <c r="GO50" s="91"/>
      <c r="GP50" s="91"/>
      <c r="GQ50" s="91"/>
      <c r="GR50" s="91"/>
      <c r="GS50" s="91"/>
      <c r="GT50" s="91"/>
      <c r="GU50" s="91"/>
      <c r="GV50" s="91"/>
      <c r="GW50" s="91"/>
      <c r="GX50" s="91"/>
      <c r="GY50" s="91"/>
      <c r="GZ50" s="91"/>
      <c r="HA50" s="91"/>
      <c r="HB50" s="91"/>
      <c r="HC50" s="91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91"/>
      <c r="HO50" s="91"/>
      <c r="HP50" s="91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91"/>
      <c r="IB50" s="91"/>
      <c r="IC50" s="91"/>
      <c r="ID50" s="91"/>
      <c r="IE50" s="91"/>
      <c r="IF50" s="91"/>
      <c r="IG50" s="91"/>
      <c r="IH50" s="91"/>
    </row>
    <row r="51" ht="15.75" customHeight="1">
      <c r="A51" s="4"/>
      <c r="B51" s="4"/>
      <c r="C51" s="20" t="s">
        <v>155</v>
      </c>
      <c r="D51" s="7" t="s">
        <v>156</v>
      </c>
      <c r="E51" s="20" t="s">
        <v>84</v>
      </c>
      <c r="F51" s="87">
        <v>46104.0</v>
      </c>
      <c r="G51" s="87">
        <v>46105.0</v>
      </c>
      <c r="H51" s="20">
        <f t="shared" si="2"/>
        <v>1</v>
      </c>
      <c r="I51" s="88" t="s">
        <v>34</v>
      </c>
      <c r="J51" s="89">
        <f t="array" ref="J51">IFS(I31="Completo",100%,I31="Não iniciado",0%,I31="Em Progresso",50%)</f>
        <v>1</v>
      </c>
      <c r="K51" s="88" t="s">
        <v>157</v>
      </c>
      <c r="L51" s="4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  <c r="ID51" s="91"/>
      <c r="IE51" s="91"/>
      <c r="IF51" s="91"/>
      <c r="IG51" s="91"/>
      <c r="IH51" s="91"/>
    </row>
    <row r="52" ht="22.5" customHeight="1">
      <c r="A52" s="4"/>
      <c r="B52" s="4"/>
      <c r="C52" s="5" t="s">
        <v>158</v>
      </c>
      <c r="D52" s="7" t="s">
        <v>159</v>
      </c>
      <c r="E52" s="5" t="s">
        <v>59</v>
      </c>
      <c r="F52" s="92">
        <v>46100.0</v>
      </c>
      <c r="G52" s="92">
        <v>46103.0</v>
      </c>
      <c r="H52" s="20">
        <f t="shared" si="2"/>
        <v>3</v>
      </c>
      <c r="I52" s="88" t="s">
        <v>34</v>
      </c>
      <c r="J52" s="89">
        <f t="array" ref="J52">IFS(I32="Completo",100%,I32="Não iniciado",0%,I32="Em Progresso",50%)</f>
        <v>1</v>
      </c>
      <c r="K52" s="5" t="s">
        <v>160</v>
      </c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  <c r="ID52" s="91"/>
      <c r="IE52" s="91"/>
      <c r="IF52" s="91"/>
      <c r="IG52" s="91"/>
      <c r="IH52" s="91"/>
    </row>
    <row r="53" ht="15.75" customHeight="1">
      <c r="A53" s="4"/>
      <c r="B53" s="4"/>
      <c r="C53" s="20" t="s">
        <v>161</v>
      </c>
      <c r="D53" s="7" t="s">
        <v>162</v>
      </c>
      <c r="E53" s="20" t="s">
        <v>46</v>
      </c>
      <c r="F53" s="87">
        <v>46104.0</v>
      </c>
      <c r="G53" s="87">
        <v>46107.0</v>
      </c>
      <c r="H53" s="20">
        <f t="shared" si="2"/>
        <v>3</v>
      </c>
      <c r="I53" s="88" t="s">
        <v>34</v>
      </c>
      <c r="J53" s="89">
        <f t="array" ref="J53">IFS(I33="Completo",100%,I33="Não iniciado",0%,I33="Em Progresso",50%)</f>
        <v>1</v>
      </c>
      <c r="K53" s="90" t="s">
        <v>163</v>
      </c>
      <c r="L53" s="4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DY53" s="91"/>
      <c r="DZ53" s="91"/>
      <c r="EA53" s="91"/>
      <c r="EB53" s="91"/>
      <c r="EC53" s="91"/>
      <c r="ED53" s="91"/>
      <c r="EE53" s="91"/>
      <c r="EF53" s="91"/>
      <c r="EG53" s="91"/>
      <c r="EH53" s="91"/>
      <c r="EI53" s="91"/>
      <c r="EJ53" s="91"/>
      <c r="EK53" s="91"/>
      <c r="EL53" s="91"/>
      <c r="EM53" s="91"/>
      <c r="EN53" s="91"/>
      <c r="EO53" s="91"/>
      <c r="EP53" s="91"/>
      <c r="EQ53" s="91"/>
      <c r="ER53" s="91"/>
      <c r="ES53" s="91"/>
      <c r="ET53" s="91"/>
      <c r="EU53" s="91"/>
      <c r="EV53" s="91"/>
      <c r="EW53" s="91"/>
      <c r="EX53" s="91"/>
      <c r="EY53" s="91"/>
      <c r="EZ53" s="91"/>
      <c r="FA53" s="91"/>
      <c r="FB53" s="91"/>
      <c r="FC53" s="91"/>
      <c r="FD53" s="91"/>
      <c r="FE53" s="91"/>
      <c r="FF53" s="91"/>
      <c r="FG53" s="91"/>
      <c r="FH53" s="91"/>
      <c r="FI53" s="91"/>
      <c r="FJ53" s="91"/>
      <c r="FK53" s="91"/>
      <c r="FL53" s="91"/>
      <c r="FM53" s="91"/>
      <c r="FN53" s="91"/>
      <c r="FO53" s="91"/>
      <c r="FP53" s="91"/>
      <c r="FQ53" s="91"/>
      <c r="FR53" s="91"/>
      <c r="FS53" s="91"/>
      <c r="FT53" s="91"/>
      <c r="FU53" s="91"/>
      <c r="FV53" s="91"/>
      <c r="FW53" s="91"/>
      <c r="FX53" s="91"/>
      <c r="FY53" s="91"/>
      <c r="FZ53" s="91"/>
      <c r="GA53" s="91"/>
      <c r="GB53" s="91"/>
      <c r="GC53" s="91"/>
      <c r="GD53" s="91"/>
      <c r="GE53" s="91"/>
      <c r="GF53" s="91"/>
      <c r="GG53" s="91"/>
      <c r="GH53" s="91"/>
      <c r="GI53" s="91"/>
      <c r="GJ53" s="91"/>
      <c r="GK53" s="91"/>
      <c r="GL53" s="91"/>
      <c r="GM53" s="91"/>
      <c r="GN53" s="91"/>
      <c r="GO53" s="91"/>
      <c r="GP53" s="91"/>
      <c r="GQ53" s="91"/>
      <c r="GR53" s="91"/>
      <c r="GS53" s="91"/>
      <c r="GT53" s="91"/>
      <c r="GU53" s="91"/>
      <c r="GV53" s="91"/>
      <c r="GW53" s="91"/>
      <c r="GX53" s="91"/>
      <c r="GY53" s="91"/>
      <c r="GZ53" s="91"/>
      <c r="HA53" s="91"/>
      <c r="HB53" s="91"/>
      <c r="HC53" s="91"/>
      <c r="HD53" s="91"/>
      <c r="HE53" s="91"/>
      <c r="HF53" s="91"/>
      <c r="HG53" s="91"/>
      <c r="HH53" s="91"/>
      <c r="HI53" s="91"/>
      <c r="HJ53" s="91"/>
      <c r="HK53" s="91"/>
      <c r="HL53" s="91"/>
      <c r="HM53" s="91"/>
      <c r="HN53" s="91"/>
      <c r="HO53" s="91"/>
      <c r="HP53" s="91"/>
      <c r="HQ53" s="91"/>
      <c r="HR53" s="91"/>
      <c r="HS53" s="91"/>
      <c r="HT53" s="91"/>
      <c r="HU53" s="91"/>
      <c r="HV53" s="91"/>
      <c r="HW53" s="91"/>
      <c r="HX53" s="91"/>
      <c r="HY53" s="91"/>
      <c r="HZ53" s="91"/>
      <c r="IA53" s="91"/>
      <c r="IB53" s="91"/>
      <c r="IC53" s="91"/>
      <c r="ID53" s="91"/>
      <c r="IE53" s="91"/>
      <c r="IF53" s="91"/>
      <c r="IG53" s="91"/>
      <c r="IH53" s="91"/>
    </row>
    <row r="54" ht="15.75" customHeight="1">
      <c r="A54" s="4"/>
      <c r="B54" s="4"/>
      <c r="C54" s="5" t="s">
        <v>164</v>
      </c>
      <c r="D54" s="7" t="s">
        <v>165</v>
      </c>
      <c r="E54" s="100" t="s">
        <v>59</v>
      </c>
      <c r="F54" s="93">
        <v>46104.0</v>
      </c>
      <c r="G54" s="93">
        <v>46107.0</v>
      </c>
      <c r="H54" s="20">
        <f t="shared" si="2"/>
        <v>3</v>
      </c>
      <c r="I54" s="88" t="s">
        <v>34</v>
      </c>
      <c r="J54" s="89">
        <f t="array" ref="J54">IFS(I34="Completo",100%,I34="Não iniciado",0%,I34="Em Progresso",50%)</f>
        <v>1</v>
      </c>
      <c r="K54" s="5" t="s">
        <v>166</v>
      </c>
      <c r="L54" s="4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  <c r="FU54" s="91"/>
      <c r="FV54" s="91"/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91"/>
      <c r="GI54" s="91"/>
      <c r="GJ54" s="91"/>
      <c r="GK54" s="91"/>
      <c r="GL54" s="91"/>
      <c r="GM54" s="91"/>
      <c r="GN54" s="91"/>
      <c r="GO54" s="91"/>
      <c r="GP54" s="91"/>
      <c r="GQ54" s="91"/>
      <c r="GR54" s="91"/>
      <c r="GS54" s="91"/>
      <c r="GT54" s="91"/>
      <c r="GU54" s="91"/>
      <c r="GV54" s="91"/>
      <c r="GW54" s="91"/>
      <c r="GX54" s="91"/>
      <c r="GY54" s="91"/>
      <c r="GZ54" s="91"/>
      <c r="HA54" s="91"/>
      <c r="HB54" s="91"/>
      <c r="HC54" s="91"/>
      <c r="HD54" s="91"/>
      <c r="HE54" s="91"/>
      <c r="HF54" s="91"/>
      <c r="HG54" s="91"/>
      <c r="HH54" s="91"/>
      <c r="HI54" s="91"/>
      <c r="HJ54" s="91"/>
      <c r="HK54" s="91"/>
      <c r="HL54" s="91"/>
      <c r="HM54" s="91"/>
      <c r="HN54" s="91"/>
      <c r="HO54" s="91"/>
      <c r="HP54" s="91"/>
      <c r="HQ54" s="91"/>
      <c r="HR54" s="91"/>
      <c r="HS54" s="91"/>
      <c r="HT54" s="91"/>
      <c r="HU54" s="91"/>
      <c r="HV54" s="91"/>
      <c r="HW54" s="91"/>
      <c r="HX54" s="91"/>
      <c r="HY54" s="91"/>
      <c r="HZ54" s="91"/>
      <c r="IA54" s="91"/>
      <c r="IB54" s="91"/>
      <c r="IC54" s="91"/>
      <c r="ID54" s="91"/>
      <c r="IE54" s="91"/>
      <c r="IF54" s="91"/>
      <c r="IG54" s="91"/>
      <c r="IH54" s="91"/>
    </row>
    <row r="55" ht="15.75" customHeight="1">
      <c r="A55" s="4"/>
      <c r="B55" s="4"/>
      <c r="C55" s="20" t="s">
        <v>167</v>
      </c>
      <c r="D55" s="7" t="s">
        <v>168</v>
      </c>
      <c r="E55" s="20" t="s">
        <v>46</v>
      </c>
      <c r="F55" s="87">
        <v>46103.0</v>
      </c>
      <c r="G55" s="87">
        <v>46106.0</v>
      </c>
      <c r="H55" s="20">
        <f t="shared" si="2"/>
        <v>3</v>
      </c>
      <c r="I55" s="88" t="s">
        <v>34</v>
      </c>
      <c r="J55" s="89">
        <f t="array" ref="J55">IFS(I35="Completo",100%,I35="Não iniciado",0%,I35="Em Progresso",50%)</f>
        <v>1</v>
      </c>
      <c r="K55" s="90" t="s">
        <v>169</v>
      </c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  <c r="HL55" s="91"/>
      <c r="HM55" s="91"/>
      <c r="HN55" s="91"/>
      <c r="HO55" s="91"/>
      <c r="HP55" s="91"/>
      <c r="HQ55" s="91"/>
      <c r="HR55" s="91"/>
      <c r="HS55" s="91"/>
      <c r="HT55" s="91"/>
      <c r="HU55" s="91"/>
      <c r="HV55" s="91"/>
      <c r="HW55" s="91"/>
      <c r="HX55" s="91"/>
      <c r="HY55" s="91"/>
      <c r="HZ55" s="91"/>
      <c r="IA55" s="91"/>
      <c r="IB55" s="91"/>
      <c r="IC55" s="91"/>
      <c r="ID55" s="91"/>
      <c r="IE55" s="91"/>
      <c r="IF55" s="91"/>
      <c r="IG55" s="91"/>
      <c r="IH55" s="91"/>
    </row>
    <row r="56" ht="27.0" customHeight="1">
      <c r="A56" s="4"/>
      <c r="B56" s="4"/>
      <c r="C56" s="94" t="s">
        <v>89</v>
      </c>
      <c r="D56" s="95" t="s">
        <v>90</v>
      </c>
      <c r="E56" s="94" t="s">
        <v>91</v>
      </c>
      <c r="F56" s="102">
        <v>46108.0</v>
      </c>
      <c r="G56" s="102">
        <v>46111.0</v>
      </c>
      <c r="H56" s="97">
        <f t="shared" si="2"/>
        <v>3</v>
      </c>
      <c r="I56" s="98" t="s">
        <v>34</v>
      </c>
      <c r="J56" s="103">
        <f t="array" ref="J56">IFS(I34="Completo",100%,I34="Não iniciado",0%,I34="Em Progresso",50%)</f>
        <v>1</v>
      </c>
      <c r="K56" s="94" t="s">
        <v>92</v>
      </c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DY56" s="91"/>
      <c r="DZ56" s="91"/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  <c r="FU56" s="91"/>
      <c r="FV56" s="91"/>
      <c r="FW56" s="91"/>
      <c r="FX56" s="91"/>
      <c r="FY56" s="91"/>
      <c r="FZ56" s="91"/>
      <c r="GA56" s="91"/>
      <c r="GB56" s="91"/>
      <c r="GC56" s="91"/>
      <c r="GD56" s="91"/>
      <c r="GE56" s="91"/>
      <c r="GF56" s="91"/>
      <c r="GG56" s="91"/>
      <c r="GH56" s="91"/>
      <c r="GI56" s="91"/>
      <c r="GJ56" s="91"/>
      <c r="GK56" s="91"/>
      <c r="GL56" s="91"/>
      <c r="GM56" s="91"/>
      <c r="GN56" s="91"/>
      <c r="GO56" s="91"/>
      <c r="GP56" s="91"/>
      <c r="GQ56" s="91"/>
      <c r="GR56" s="91"/>
      <c r="GS56" s="91"/>
      <c r="GT56" s="91"/>
      <c r="GU56" s="91"/>
      <c r="GV56" s="91"/>
      <c r="GW56" s="91"/>
      <c r="GX56" s="91"/>
      <c r="GY56" s="91"/>
      <c r="GZ56" s="91"/>
      <c r="HA56" s="91"/>
      <c r="HB56" s="91"/>
      <c r="HC56" s="91"/>
      <c r="HD56" s="91"/>
      <c r="HE56" s="91"/>
      <c r="HF56" s="91"/>
      <c r="HG56" s="91"/>
      <c r="HH56" s="91"/>
      <c r="HI56" s="91"/>
      <c r="HJ56" s="91"/>
      <c r="HK56" s="91"/>
      <c r="HL56" s="91"/>
      <c r="HM56" s="91"/>
      <c r="HN56" s="91"/>
      <c r="HO56" s="91"/>
      <c r="HP56" s="91"/>
      <c r="HQ56" s="91"/>
      <c r="HR56" s="91"/>
      <c r="HS56" s="91"/>
      <c r="HT56" s="91"/>
      <c r="HU56" s="91"/>
      <c r="HV56" s="91"/>
      <c r="HW56" s="91"/>
      <c r="HX56" s="91"/>
      <c r="HY56" s="91"/>
      <c r="HZ56" s="91"/>
      <c r="IA56" s="91"/>
      <c r="IB56" s="91"/>
      <c r="IC56" s="91"/>
      <c r="ID56" s="91"/>
      <c r="IE56" s="91"/>
      <c r="IF56" s="91"/>
      <c r="IG56" s="91"/>
      <c r="IH56" s="91"/>
    </row>
    <row r="57" ht="27.0" customHeight="1">
      <c r="A57" s="4"/>
      <c r="B57" s="4"/>
      <c r="C57" s="94" t="s">
        <v>93</v>
      </c>
      <c r="D57" s="95" t="s">
        <v>94</v>
      </c>
      <c r="E57" s="94" t="s">
        <v>95</v>
      </c>
      <c r="F57" s="102">
        <v>46112.0</v>
      </c>
      <c r="G57" s="102">
        <v>46117.0</v>
      </c>
      <c r="H57" s="97">
        <f t="shared" si="2"/>
        <v>5</v>
      </c>
      <c r="I57" s="98" t="s">
        <v>34</v>
      </c>
      <c r="J57" s="103">
        <f t="array" ref="J57">IFS(I37="Completo",100%,I37="Não iniciado",0%,I37="Em Progresso",50%)</f>
        <v>1</v>
      </c>
      <c r="K57" s="94" t="s">
        <v>89</v>
      </c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1"/>
      <c r="FA57" s="91"/>
      <c r="FB57" s="91"/>
      <c r="FC57" s="91"/>
      <c r="FD57" s="91"/>
      <c r="FE57" s="91"/>
      <c r="FF57" s="91"/>
      <c r="FG57" s="91"/>
      <c r="FH57" s="91"/>
      <c r="FI57" s="91"/>
      <c r="FJ57" s="91"/>
      <c r="FK57" s="91"/>
      <c r="FL57" s="91"/>
      <c r="FM57" s="91"/>
      <c r="FN57" s="91"/>
      <c r="FO57" s="91"/>
      <c r="FP57" s="91"/>
      <c r="FQ57" s="91"/>
      <c r="FR57" s="91"/>
      <c r="FS57" s="91"/>
      <c r="FT57" s="91"/>
      <c r="FU57" s="91"/>
      <c r="FV57" s="91"/>
      <c r="FW57" s="91"/>
      <c r="FX57" s="91"/>
      <c r="FY57" s="91"/>
      <c r="FZ57" s="91"/>
      <c r="GA57" s="91"/>
      <c r="GB57" s="91"/>
      <c r="GC57" s="91"/>
      <c r="GD57" s="91"/>
      <c r="GE57" s="91"/>
      <c r="GF57" s="91"/>
      <c r="GG57" s="91"/>
      <c r="GH57" s="91"/>
      <c r="GI57" s="91"/>
      <c r="GJ57" s="91"/>
      <c r="GK57" s="91"/>
      <c r="GL57" s="91"/>
      <c r="GM57" s="91"/>
      <c r="GN57" s="91"/>
      <c r="GO57" s="91"/>
      <c r="GP57" s="91"/>
      <c r="GQ57" s="91"/>
      <c r="GR57" s="91"/>
      <c r="GS57" s="91"/>
      <c r="GT57" s="91"/>
      <c r="GU57" s="91"/>
      <c r="GV57" s="91"/>
      <c r="GW57" s="91"/>
      <c r="GX57" s="91"/>
      <c r="GY57" s="91"/>
      <c r="GZ57" s="91"/>
      <c r="HA57" s="91"/>
      <c r="HB57" s="91"/>
      <c r="HC57" s="91"/>
      <c r="HD57" s="91"/>
      <c r="HE57" s="91"/>
      <c r="HF57" s="91"/>
      <c r="HG57" s="91"/>
      <c r="HH57" s="91"/>
      <c r="HI57" s="91"/>
      <c r="HJ57" s="91"/>
      <c r="HK57" s="91"/>
      <c r="HL57" s="91"/>
      <c r="HM57" s="91"/>
      <c r="HN57" s="91"/>
      <c r="HO57" s="91"/>
      <c r="HP57" s="91"/>
      <c r="HQ57" s="91"/>
      <c r="HR57" s="91"/>
      <c r="HS57" s="91"/>
      <c r="HT57" s="91"/>
      <c r="HU57" s="91"/>
      <c r="HV57" s="91"/>
      <c r="HW57" s="91"/>
      <c r="HX57" s="91"/>
      <c r="HY57" s="91"/>
      <c r="HZ57" s="91"/>
      <c r="IA57" s="91"/>
      <c r="IB57" s="91"/>
      <c r="IC57" s="91"/>
      <c r="ID57" s="91"/>
      <c r="IE57" s="91"/>
      <c r="IF57" s="91"/>
      <c r="IG57" s="91"/>
      <c r="IH57" s="91"/>
    </row>
    <row r="58" ht="27.0" customHeight="1">
      <c r="A58" s="4"/>
      <c r="B58" s="4"/>
      <c r="C58" s="94" t="s">
        <v>96</v>
      </c>
      <c r="D58" s="95" t="s">
        <v>97</v>
      </c>
      <c r="E58" s="94" t="s">
        <v>95</v>
      </c>
      <c r="F58" s="102">
        <v>46118.0</v>
      </c>
      <c r="G58" s="102">
        <v>46122.0</v>
      </c>
      <c r="H58" s="97">
        <f t="shared" si="2"/>
        <v>4</v>
      </c>
      <c r="I58" s="98" t="s">
        <v>34</v>
      </c>
      <c r="J58" s="103">
        <f t="array" ref="J58">IFS(I39="Completo",100%,I39="Não iniciado",0%,I39="Em Progresso",50%)</f>
        <v>1</v>
      </c>
      <c r="K58" s="94" t="s">
        <v>93</v>
      </c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DY58" s="91"/>
      <c r="DZ58" s="91"/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  <c r="FU58" s="91"/>
      <c r="FV58" s="91"/>
      <c r="FW58" s="91"/>
      <c r="FX58" s="91"/>
      <c r="FY58" s="91"/>
      <c r="FZ58" s="91"/>
      <c r="GA58" s="91"/>
      <c r="GB58" s="91"/>
      <c r="GC58" s="91"/>
      <c r="GD58" s="91"/>
      <c r="GE58" s="91"/>
      <c r="GF58" s="91"/>
      <c r="GG58" s="91"/>
      <c r="GH58" s="91"/>
      <c r="GI58" s="91"/>
      <c r="GJ58" s="91"/>
      <c r="GK58" s="91"/>
      <c r="GL58" s="91"/>
      <c r="GM58" s="91"/>
      <c r="GN58" s="91"/>
      <c r="GO58" s="91"/>
      <c r="GP58" s="91"/>
      <c r="GQ58" s="91"/>
      <c r="GR58" s="91"/>
      <c r="GS58" s="91"/>
      <c r="GT58" s="91"/>
      <c r="GU58" s="91"/>
      <c r="GV58" s="91"/>
      <c r="GW58" s="91"/>
      <c r="GX58" s="91"/>
      <c r="GY58" s="91"/>
      <c r="GZ58" s="91"/>
      <c r="HA58" s="91"/>
      <c r="HB58" s="91"/>
      <c r="HC58" s="91"/>
      <c r="HD58" s="91"/>
      <c r="HE58" s="91"/>
      <c r="HF58" s="91"/>
      <c r="HG58" s="91"/>
      <c r="HH58" s="91"/>
      <c r="HI58" s="91"/>
      <c r="HJ58" s="91"/>
      <c r="HK58" s="91"/>
      <c r="HL58" s="91"/>
      <c r="HM58" s="91"/>
      <c r="HN58" s="91"/>
      <c r="HO58" s="91"/>
      <c r="HP58" s="91"/>
      <c r="HQ58" s="91"/>
      <c r="HR58" s="91"/>
      <c r="HS58" s="91"/>
      <c r="HT58" s="91"/>
      <c r="HU58" s="91"/>
      <c r="HV58" s="91"/>
      <c r="HW58" s="91"/>
      <c r="HX58" s="91"/>
      <c r="HY58" s="91"/>
      <c r="HZ58" s="91"/>
      <c r="IA58" s="91"/>
      <c r="IB58" s="91"/>
      <c r="IC58" s="91"/>
      <c r="ID58" s="91"/>
      <c r="IE58" s="91"/>
      <c r="IF58" s="91"/>
      <c r="IG58" s="91"/>
      <c r="IH58" s="91"/>
    </row>
    <row r="59" ht="27.0" customHeight="1">
      <c r="A59" s="4"/>
      <c r="B59" s="4"/>
      <c r="C59" s="94" t="s">
        <v>98</v>
      </c>
      <c r="D59" s="95" t="s">
        <v>99</v>
      </c>
      <c r="E59" s="94" t="s">
        <v>91</v>
      </c>
      <c r="F59" s="102">
        <v>46123.0</v>
      </c>
      <c r="G59" s="102">
        <v>46127.0</v>
      </c>
      <c r="H59" s="97">
        <f t="shared" si="2"/>
        <v>4</v>
      </c>
      <c r="I59" s="98" t="s">
        <v>34</v>
      </c>
      <c r="J59" s="103">
        <f t="array" ref="J59">IFS(I41="Completo",100%,I41="Não iniciado",0%,I41="Em Progresso",50%)</f>
        <v>1</v>
      </c>
      <c r="K59" s="94" t="s">
        <v>96</v>
      </c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91"/>
      <c r="EK59" s="91"/>
      <c r="EL59" s="91"/>
      <c r="EM59" s="91"/>
      <c r="EN59" s="91"/>
      <c r="EO59" s="91"/>
      <c r="EP59" s="91"/>
      <c r="EQ59" s="91"/>
      <c r="ER59" s="91"/>
      <c r="ES59" s="91"/>
      <c r="ET59" s="91"/>
      <c r="EU59" s="91"/>
      <c r="EV59" s="9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91"/>
      <c r="FH59" s="91"/>
      <c r="FI59" s="91"/>
      <c r="FJ59" s="91"/>
      <c r="FK59" s="91"/>
      <c r="FL59" s="91"/>
      <c r="FM59" s="91"/>
      <c r="FN59" s="91"/>
      <c r="FO59" s="91"/>
      <c r="FP59" s="91"/>
      <c r="FQ59" s="91"/>
      <c r="FR59" s="91"/>
      <c r="FS59" s="91"/>
      <c r="FT59" s="91"/>
      <c r="FU59" s="91"/>
      <c r="FV59" s="91"/>
      <c r="FW59" s="91"/>
      <c r="FX59" s="91"/>
      <c r="FY59" s="91"/>
      <c r="FZ59" s="91"/>
      <c r="GA59" s="91"/>
      <c r="GB59" s="91"/>
      <c r="GC59" s="91"/>
      <c r="GD59" s="91"/>
      <c r="GE59" s="91"/>
      <c r="GF59" s="91"/>
      <c r="GG59" s="91"/>
      <c r="GH59" s="91"/>
      <c r="GI59" s="91"/>
      <c r="GJ59" s="91"/>
      <c r="GK59" s="91"/>
      <c r="GL59" s="91"/>
      <c r="GM59" s="91"/>
      <c r="GN59" s="91"/>
      <c r="GO59" s="91"/>
      <c r="GP59" s="91"/>
      <c r="GQ59" s="91"/>
      <c r="GR59" s="91"/>
      <c r="GS59" s="91"/>
      <c r="GT59" s="91"/>
      <c r="GU59" s="91"/>
      <c r="GV59" s="91"/>
      <c r="GW59" s="91"/>
      <c r="GX59" s="91"/>
      <c r="GY59" s="91"/>
      <c r="GZ59" s="91"/>
      <c r="HA59" s="91"/>
      <c r="HB59" s="91"/>
      <c r="HC59" s="91"/>
      <c r="HD59" s="91"/>
      <c r="HE59" s="91"/>
      <c r="HF59" s="91"/>
      <c r="HG59" s="91"/>
      <c r="HH59" s="91"/>
      <c r="HI59" s="91"/>
      <c r="HJ59" s="91"/>
      <c r="HK59" s="91"/>
      <c r="HL59" s="91"/>
      <c r="HM59" s="91"/>
      <c r="HN59" s="91"/>
      <c r="HO59" s="91"/>
      <c r="HP59" s="91"/>
      <c r="HQ59" s="91"/>
      <c r="HR59" s="91"/>
      <c r="HS59" s="91"/>
      <c r="HT59" s="91"/>
      <c r="HU59" s="91"/>
      <c r="HV59" s="91"/>
      <c r="HW59" s="91"/>
      <c r="HX59" s="91"/>
      <c r="HY59" s="91"/>
      <c r="HZ59" s="91"/>
      <c r="IA59" s="91"/>
      <c r="IB59" s="91"/>
      <c r="IC59" s="91"/>
      <c r="ID59" s="91"/>
      <c r="IE59" s="91"/>
      <c r="IF59" s="91"/>
      <c r="IG59" s="91"/>
      <c r="IH59" s="91"/>
    </row>
    <row r="60" ht="15.75" customHeight="1">
      <c r="A60" s="4"/>
      <c r="B60" s="4"/>
      <c r="C60" s="5" t="s">
        <v>170</v>
      </c>
      <c r="D60" s="7" t="s">
        <v>171</v>
      </c>
      <c r="E60" s="100" t="s">
        <v>84</v>
      </c>
      <c r="F60" s="93">
        <v>46131.0</v>
      </c>
      <c r="G60" s="93">
        <v>46140.0</v>
      </c>
      <c r="H60" s="20">
        <f t="shared" si="2"/>
        <v>9</v>
      </c>
      <c r="I60" s="88" t="s">
        <v>34</v>
      </c>
      <c r="J60" s="104">
        <v>1.0</v>
      </c>
      <c r="K60" s="88" t="s">
        <v>172</v>
      </c>
      <c r="L60" s="4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1"/>
      <c r="FB60" s="91"/>
      <c r="FC60" s="91"/>
      <c r="FD60" s="91"/>
      <c r="FE60" s="91"/>
      <c r="FF60" s="91"/>
      <c r="FG60" s="91"/>
      <c r="FH60" s="91"/>
      <c r="FI60" s="91"/>
      <c r="FJ60" s="91"/>
      <c r="FK60" s="91"/>
      <c r="FL60" s="91"/>
      <c r="FM60" s="91"/>
      <c r="FN60" s="91"/>
      <c r="FO60" s="91"/>
      <c r="FP60" s="91"/>
      <c r="FQ60" s="91"/>
      <c r="FR60" s="91"/>
      <c r="FS60" s="91"/>
      <c r="FT60" s="91"/>
      <c r="FU60" s="91"/>
      <c r="FV60" s="91"/>
      <c r="FW60" s="91"/>
      <c r="FX60" s="91"/>
      <c r="FY60" s="91"/>
      <c r="FZ60" s="91"/>
      <c r="GA60" s="91"/>
      <c r="GB60" s="91"/>
      <c r="GC60" s="91"/>
      <c r="GD60" s="91"/>
      <c r="GE60" s="91"/>
      <c r="GF60" s="91"/>
      <c r="GG60" s="91"/>
      <c r="GH60" s="91"/>
      <c r="GI60" s="91"/>
      <c r="GJ60" s="91"/>
      <c r="GK60" s="91"/>
      <c r="GL60" s="91"/>
      <c r="GM60" s="91"/>
      <c r="GN60" s="91"/>
      <c r="GO60" s="91"/>
      <c r="GP60" s="91"/>
      <c r="GQ60" s="91"/>
      <c r="GR60" s="91"/>
      <c r="GS60" s="91"/>
      <c r="GT60" s="91"/>
      <c r="GU60" s="91"/>
      <c r="GV60" s="91"/>
      <c r="GW60" s="91"/>
      <c r="GX60" s="91"/>
      <c r="GY60" s="91"/>
      <c r="GZ60" s="91"/>
      <c r="HA60" s="91"/>
      <c r="HB60" s="91"/>
      <c r="HC60" s="91"/>
      <c r="HD60" s="91"/>
      <c r="HE60" s="91"/>
      <c r="HF60" s="91"/>
      <c r="HG60" s="91"/>
      <c r="HH60" s="91"/>
      <c r="HI60" s="91"/>
      <c r="HJ60" s="91"/>
      <c r="HK60" s="91"/>
      <c r="HL60" s="91"/>
      <c r="HM60" s="91"/>
      <c r="HN60" s="91"/>
      <c r="HO60" s="91"/>
      <c r="HP60" s="91"/>
      <c r="HQ60" s="91"/>
      <c r="HR60" s="91"/>
      <c r="HS60" s="91"/>
      <c r="HT60" s="91"/>
      <c r="HU60" s="91"/>
      <c r="HV60" s="91"/>
      <c r="HW60" s="91"/>
      <c r="HX60" s="91"/>
      <c r="HY60" s="91"/>
      <c r="HZ60" s="91"/>
      <c r="IA60" s="91"/>
      <c r="IB60" s="91"/>
      <c r="IC60" s="91"/>
      <c r="ID60" s="91"/>
      <c r="IE60" s="91"/>
      <c r="IF60" s="91"/>
      <c r="IG60" s="91"/>
      <c r="IH60" s="91"/>
    </row>
    <row r="61" ht="15.75" customHeight="1">
      <c r="A61" s="4"/>
      <c r="B61" s="4"/>
      <c r="C61" s="5" t="s">
        <v>173</v>
      </c>
      <c r="D61" s="7" t="s">
        <v>174</v>
      </c>
      <c r="E61" s="5" t="s">
        <v>46</v>
      </c>
      <c r="F61" s="93">
        <v>46131.0</v>
      </c>
      <c r="G61" s="93">
        <v>46143.0</v>
      </c>
      <c r="H61" s="20">
        <f t="shared" si="2"/>
        <v>12</v>
      </c>
      <c r="I61" s="88" t="s">
        <v>34</v>
      </c>
      <c r="J61" s="104">
        <v>1.0</v>
      </c>
      <c r="K61" s="88" t="s">
        <v>106</v>
      </c>
      <c r="L61" s="4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DY61" s="91"/>
      <c r="DZ61" s="91"/>
      <c r="EA61" s="91"/>
      <c r="EB61" s="91"/>
      <c r="EC61" s="91"/>
      <c r="ED61" s="91"/>
      <c r="EE61" s="91"/>
      <c r="EF61" s="91"/>
      <c r="EG61" s="91"/>
      <c r="EH61" s="91"/>
      <c r="EI61" s="91"/>
      <c r="EJ61" s="91"/>
      <c r="EK61" s="91"/>
      <c r="EL61" s="91"/>
      <c r="EM61" s="91"/>
      <c r="EN61" s="91"/>
      <c r="EO61" s="91"/>
      <c r="EP61" s="91"/>
      <c r="EQ61" s="91"/>
      <c r="ER61" s="91"/>
      <c r="ES61" s="91"/>
      <c r="ET61" s="91"/>
      <c r="EU61" s="91"/>
      <c r="EV61" s="91"/>
      <c r="EW61" s="91"/>
      <c r="EX61" s="91"/>
      <c r="EY61" s="91"/>
      <c r="EZ61" s="91"/>
      <c r="FA61" s="91"/>
      <c r="FB61" s="91"/>
      <c r="FC61" s="91"/>
      <c r="FD61" s="91"/>
      <c r="FE61" s="91"/>
      <c r="FF61" s="91"/>
      <c r="FG61" s="91"/>
      <c r="FH61" s="91"/>
      <c r="FI61" s="91"/>
      <c r="FJ61" s="91"/>
      <c r="FK61" s="91"/>
      <c r="FL61" s="91"/>
      <c r="FM61" s="91"/>
      <c r="FN61" s="91"/>
      <c r="FO61" s="91"/>
      <c r="FP61" s="91"/>
      <c r="FQ61" s="91"/>
      <c r="FR61" s="91"/>
      <c r="FS61" s="91"/>
      <c r="FT61" s="91"/>
      <c r="FU61" s="91"/>
      <c r="FV61" s="91"/>
      <c r="FW61" s="91"/>
      <c r="FX61" s="91"/>
      <c r="FY61" s="91"/>
      <c r="FZ61" s="91"/>
      <c r="GA61" s="91"/>
      <c r="GB61" s="91"/>
      <c r="GC61" s="91"/>
      <c r="GD61" s="91"/>
      <c r="GE61" s="91"/>
      <c r="GF61" s="91"/>
      <c r="GG61" s="91"/>
      <c r="GH61" s="91"/>
      <c r="GI61" s="91"/>
      <c r="GJ61" s="91"/>
      <c r="GK61" s="91"/>
      <c r="GL61" s="91"/>
      <c r="GM61" s="91"/>
      <c r="GN61" s="91"/>
      <c r="GO61" s="91"/>
      <c r="GP61" s="91"/>
      <c r="GQ61" s="91"/>
      <c r="GR61" s="91"/>
      <c r="GS61" s="91"/>
      <c r="GT61" s="91"/>
      <c r="GU61" s="91"/>
      <c r="GV61" s="91"/>
      <c r="GW61" s="91"/>
      <c r="GX61" s="91"/>
      <c r="GY61" s="91"/>
      <c r="GZ61" s="91"/>
      <c r="HA61" s="91"/>
      <c r="HB61" s="91"/>
      <c r="HC61" s="91"/>
      <c r="HD61" s="91"/>
      <c r="HE61" s="91"/>
      <c r="HF61" s="91"/>
      <c r="HG61" s="91"/>
      <c r="HH61" s="91"/>
      <c r="HI61" s="91"/>
      <c r="HJ61" s="91"/>
      <c r="HK61" s="91"/>
      <c r="HL61" s="91"/>
      <c r="HM61" s="91"/>
      <c r="HN61" s="91"/>
      <c r="HO61" s="91"/>
      <c r="HP61" s="91"/>
      <c r="HQ61" s="91"/>
      <c r="HR61" s="91"/>
      <c r="HS61" s="91"/>
      <c r="HT61" s="91"/>
      <c r="HU61" s="91"/>
      <c r="HV61" s="91"/>
      <c r="HW61" s="91"/>
      <c r="HX61" s="91"/>
      <c r="HY61" s="91"/>
      <c r="HZ61" s="91"/>
      <c r="IA61" s="91"/>
      <c r="IB61" s="91"/>
      <c r="IC61" s="91"/>
      <c r="ID61" s="91"/>
      <c r="IE61" s="91"/>
      <c r="IF61" s="91"/>
      <c r="IG61" s="91"/>
      <c r="IH61" s="91"/>
    </row>
    <row r="62" ht="15.75" customHeight="1">
      <c r="A62" s="4"/>
      <c r="B62" s="4"/>
      <c r="C62" s="20" t="s">
        <v>175</v>
      </c>
      <c r="D62" s="7" t="s">
        <v>176</v>
      </c>
      <c r="E62" s="20" t="s">
        <v>39</v>
      </c>
      <c r="F62" s="87">
        <v>46132.0</v>
      </c>
      <c r="G62" s="87">
        <v>46134.0</v>
      </c>
      <c r="H62" s="20">
        <f t="shared" si="2"/>
        <v>2</v>
      </c>
      <c r="I62" s="88" t="s">
        <v>34</v>
      </c>
      <c r="J62" s="89">
        <f t="array" ref="J62">IFS(I64="Completo",100%,I64="Não iniciado",0%,I64="Em Progresso",50%)</f>
        <v>1</v>
      </c>
      <c r="K62" s="90" t="s">
        <v>177</v>
      </c>
      <c r="L62" s="4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DY62" s="91"/>
      <c r="DZ62" s="91"/>
      <c r="EA62" s="91"/>
      <c r="EB62" s="91"/>
      <c r="EC62" s="91"/>
      <c r="ED62" s="91"/>
      <c r="EE62" s="91"/>
      <c r="EF62" s="91"/>
      <c r="EG62" s="91"/>
      <c r="EH62" s="91"/>
      <c r="EI62" s="91"/>
      <c r="EJ62" s="91"/>
      <c r="EK62" s="91"/>
      <c r="EL62" s="91"/>
      <c r="EM62" s="91"/>
      <c r="EN62" s="91"/>
      <c r="EO62" s="91"/>
      <c r="EP62" s="91"/>
      <c r="EQ62" s="91"/>
      <c r="ER62" s="91"/>
      <c r="ES62" s="91"/>
      <c r="ET62" s="91"/>
      <c r="EU62" s="91"/>
      <c r="EV62" s="91"/>
      <c r="EW62" s="91"/>
      <c r="EX62" s="91"/>
      <c r="EY62" s="91"/>
      <c r="EZ62" s="91"/>
      <c r="FA62" s="91"/>
      <c r="FB62" s="91"/>
      <c r="FC62" s="91"/>
      <c r="FD62" s="91"/>
      <c r="FE62" s="91"/>
      <c r="FF62" s="91"/>
      <c r="FG62" s="91"/>
      <c r="FH62" s="91"/>
      <c r="FI62" s="91"/>
      <c r="FJ62" s="91"/>
      <c r="FK62" s="91"/>
      <c r="FL62" s="91"/>
      <c r="FM62" s="91"/>
      <c r="FN62" s="91"/>
      <c r="FO62" s="91"/>
      <c r="FP62" s="91"/>
      <c r="FQ62" s="91"/>
      <c r="FR62" s="91"/>
      <c r="FS62" s="91"/>
      <c r="FT62" s="91"/>
      <c r="FU62" s="91"/>
      <c r="FV62" s="91"/>
      <c r="FW62" s="91"/>
      <c r="FX62" s="91"/>
      <c r="FY62" s="91"/>
      <c r="FZ62" s="91"/>
      <c r="GA62" s="91"/>
      <c r="GB62" s="91"/>
      <c r="GC62" s="91"/>
      <c r="GD62" s="91"/>
      <c r="GE62" s="91"/>
      <c r="GF62" s="91"/>
      <c r="GG62" s="91"/>
      <c r="GH62" s="91"/>
      <c r="GI62" s="91"/>
      <c r="GJ62" s="91"/>
      <c r="GK62" s="91"/>
      <c r="GL62" s="91"/>
      <c r="GM62" s="91"/>
      <c r="GN62" s="91"/>
      <c r="GO62" s="91"/>
      <c r="GP62" s="91"/>
      <c r="GQ62" s="91"/>
      <c r="GR62" s="91"/>
      <c r="GS62" s="91"/>
      <c r="GT62" s="91"/>
      <c r="GU62" s="91"/>
      <c r="GV62" s="91"/>
      <c r="GW62" s="91"/>
      <c r="GX62" s="91"/>
      <c r="GY62" s="91"/>
      <c r="GZ62" s="91"/>
      <c r="HA62" s="91"/>
      <c r="HB62" s="91"/>
      <c r="HC62" s="91"/>
      <c r="HD62" s="91"/>
      <c r="HE62" s="91"/>
      <c r="HF62" s="91"/>
      <c r="HG62" s="91"/>
      <c r="HH62" s="91"/>
      <c r="HI62" s="91"/>
      <c r="HJ62" s="91"/>
      <c r="HK62" s="91"/>
      <c r="HL62" s="91"/>
      <c r="HM62" s="91"/>
      <c r="HN62" s="91"/>
      <c r="HO62" s="91"/>
      <c r="HP62" s="91"/>
      <c r="HQ62" s="91"/>
      <c r="HR62" s="91"/>
      <c r="HS62" s="91"/>
      <c r="HT62" s="91"/>
      <c r="HU62" s="91"/>
      <c r="HV62" s="91"/>
      <c r="HW62" s="91"/>
      <c r="HX62" s="91"/>
      <c r="HY62" s="91"/>
      <c r="HZ62" s="91"/>
      <c r="IA62" s="91"/>
      <c r="IB62" s="91"/>
      <c r="IC62" s="91"/>
      <c r="ID62" s="91"/>
      <c r="IE62" s="91"/>
      <c r="IF62" s="91"/>
      <c r="IG62" s="91"/>
      <c r="IH62" s="91"/>
    </row>
    <row r="63" ht="15.75" customHeight="1">
      <c r="A63" s="4"/>
      <c r="B63" s="4"/>
      <c r="C63" s="20" t="s">
        <v>178</v>
      </c>
      <c r="D63" s="7" t="s">
        <v>179</v>
      </c>
      <c r="E63" s="20" t="s">
        <v>46</v>
      </c>
      <c r="F63" s="87">
        <v>46094.0</v>
      </c>
      <c r="G63" s="87">
        <v>46097.0</v>
      </c>
      <c r="H63" s="20">
        <f t="shared" si="2"/>
        <v>3</v>
      </c>
      <c r="I63" s="88" t="s">
        <v>34</v>
      </c>
      <c r="J63" s="89">
        <f t="array" ref="J63">IFS(I65="Completo",100%,I65="Não iniciado",0%,I65="Em Progresso",50%)</f>
        <v>1</v>
      </c>
      <c r="K63" s="88" t="s">
        <v>180</v>
      </c>
      <c r="L63" s="4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DY63" s="91"/>
      <c r="DZ63" s="91"/>
      <c r="EA63" s="91"/>
      <c r="EB63" s="91"/>
      <c r="EC63" s="91"/>
      <c r="ED63" s="91"/>
      <c r="EE63" s="91"/>
      <c r="EF63" s="91"/>
      <c r="EG63" s="91"/>
      <c r="EH63" s="91"/>
      <c r="EI63" s="91"/>
      <c r="EJ63" s="91"/>
      <c r="EK63" s="91"/>
      <c r="EL63" s="91"/>
      <c r="EM63" s="91"/>
      <c r="EN63" s="91"/>
      <c r="EO63" s="91"/>
      <c r="EP63" s="91"/>
      <c r="EQ63" s="91"/>
      <c r="ER63" s="91"/>
      <c r="ES63" s="91"/>
      <c r="ET63" s="91"/>
      <c r="EU63" s="91"/>
      <c r="EV63" s="91"/>
      <c r="EW63" s="91"/>
      <c r="EX63" s="91"/>
      <c r="EY63" s="91"/>
      <c r="EZ63" s="91"/>
      <c r="FA63" s="91"/>
      <c r="FB63" s="91"/>
      <c r="FC63" s="91"/>
      <c r="FD63" s="91"/>
      <c r="FE63" s="91"/>
      <c r="FF63" s="91"/>
      <c r="FG63" s="91"/>
      <c r="FH63" s="91"/>
      <c r="FI63" s="91"/>
      <c r="FJ63" s="91"/>
      <c r="FK63" s="91"/>
      <c r="FL63" s="91"/>
      <c r="FM63" s="91"/>
      <c r="FN63" s="91"/>
      <c r="FO63" s="91"/>
      <c r="FP63" s="91"/>
      <c r="FQ63" s="91"/>
      <c r="FR63" s="91"/>
      <c r="FS63" s="91"/>
      <c r="FT63" s="91"/>
      <c r="FU63" s="91"/>
      <c r="FV63" s="91"/>
      <c r="FW63" s="91"/>
      <c r="FX63" s="91"/>
      <c r="FY63" s="91"/>
      <c r="FZ63" s="91"/>
      <c r="GA63" s="91"/>
      <c r="GB63" s="91"/>
      <c r="GC63" s="91"/>
      <c r="GD63" s="91"/>
      <c r="GE63" s="91"/>
      <c r="GF63" s="91"/>
      <c r="GG63" s="91"/>
      <c r="GH63" s="91"/>
      <c r="GI63" s="91"/>
      <c r="GJ63" s="91"/>
      <c r="GK63" s="91"/>
      <c r="GL63" s="91"/>
      <c r="GM63" s="91"/>
      <c r="GN63" s="91"/>
      <c r="GO63" s="91"/>
      <c r="GP63" s="91"/>
      <c r="GQ63" s="91"/>
      <c r="GR63" s="91"/>
      <c r="GS63" s="91"/>
      <c r="GT63" s="91"/>
      <c r="GU63" s="91"/>
      <c r="GV63" s="91"/>
      <c r="GW63" s="91"/>
      <c r="GX63" s="91"/>
      <c r="GY63" s="91"/>
      <c r="GZ63" s="91"/>
      <c r="HA63" s="91"/>
      <c r="HB63" s="91"/>
      <c r="HC63" s="91"/>
      <c r="HD63" s="91"/>
      <c r="HE63" s="91"/>
      <c r="HF63" s="91"/>
      <c r="HG63" s="91"/>
      <c r="HH63" s="91"/>
      <c r="HI63" s="91"/>
      <c r="HJ63" s="91"/>
      <c r="HK63" s="91"/>
      <c r="HL63" s="91"/>
      <c r="HM63" s="91"/>
      <c r="HN63" s="91"/>
      <c r="HO63" s="91"/>
      <c r="HP63" s="91"/>
      <c r="HQ63" s="91"/>
      <c r="HR63" s="91"/>
      <c r="HS63" s="91"/>
      <c r="HT63" s="91"/>
      <c r="HU63" s="91"/>
      <c r="HV63" s="91"/>
      <c r="HW63" s="91"/>
      <c r="HX63" s="91"/>
      <c r="HY63" s="91"/>
      <c r="HZ63" s="91"/>
      <c r="IA63" s="91"/>
      <c r="IB63" s="91"/>
      <c r="IC63" s="91"/>
      <c r="ID63" s="91"/>
      <c r="IE63" s="91"/>
      <c r="IF63" s="91"/>
      <c r="IG63" s="91"/>
      <c r="IH63" s="91"/>
    </row>
    <row r="64" ht="15.75" customHeight="1">
      <c r="A64" s="4"/>
      <c r="B64" s="4"/>
      <c r="C64" s="20" t="s">
        <v>181</v>
      </c>
      <c r="D64" s="7" t="s">
        <v>71</v>
      </c>
      <c r="E64" s="20" t="s">
        <v>46</v>
      </c>
      <c r="F64" s="87">
        <v>46133.0</v>
      </c>
      <c r="G64" s="87">
        <v>46137.0</v>
      </c>
      <c r="H64" s="20">
        <f t="shared" si="2"/>
        <v>4</v>
      </c>
      <c r="I64" s="88" t="s">
        <v>34</v>
      </c>
      <c r="J64" s="89">
        <f t="array" ref="J64">IFS(I36="Completo",100%,I36="Não iniciado",0%,I36="Em Progresso",50%)</f>
        <v>1</v>
      </c>
      <c r="K64" s="89" t="s">
        <v>57</v>
      </c>
      <c r="L64" s="4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DY64" s="91"/>
      <c r="DZ64" s="91"/>
      <c r="EA64" s="91"/>
      <c r="EB64" s="91"/>
      <c r="EC64" s="91"/>
      <c r="ED64" s="91"/>
      <c r="EE64" s="91"/>
      <c r="EF64" s="91"/>
      <c r="EG64" s="91"/>
      <c r="EH64" s="91"/>
      <c r="EI64" s="91"/>
      <c r="EJ64" s="91"/>
      <c r="EK64" s="91"/>
      <c r="EL64" s="91"/>
      <c r="EM64" s="91"/>
      <c r="EN64" s="91"/>
      <c r="EO64" s="91"/>
      <c r="EP64" s="91"/>
      <c r="EQ64" s="91"/>
      <c r="ER64" s="91"/>
      <c r="ES64" s="91"/>
      <c r="ET64" s="91"/>
      <c r="EU64" s="91"/>
      <c r="EV64" s="91"/>
      <c r="EW64" s="91"/>
      <c r="EX64" s="91"/>
      <c r="EY64" s="91"/>
      <c r="EZ64" s="91"/>
      <c r="FA64" s="91"/>
      <c r="FB64" s="91"/>
      <c r="FC64" s="91"/>
      <c r="FD64" s="91"/>
      <c r="FE64" s="91"/>
      <c r="FF64" s="91"/>
      <c r="FG64" s="91"/>
      <c r="FH64" s="91"/>
      <c r="FI64" s="91"/>
      <c r="FJ64" s="91"/>
      <c r="FK64" s="91"/>
      <c r="FL64" s="91"/>
      <c r="FM64" s="91"/>
      <c r="FN64" s="91"/>
      <c r="FO64" s="91"/>
      <c r="FP64" s="91"/>
      <c r="FQ64" s="91"/>
      <c r="FR64" s="91"/>
      <c r="FS64" s="91"/>
      <c r="FT64" s="91"/>
      <c r="FU64" s="91"/>
      <c r="FV64" s="91"/>
      <c r="FW64" s="91"/>
      <c r="FX64" s="91"/>
      <c r="FY64" s="91"/>
      <c r="FZ64" s="91"/>
      <c r="GA64" s="91"/>
      <c r="GB64" s="91"/>
      <c r="GC64" s="91"/>
      <c r="GD64" s="91"/>
      <c r="GE64" s="91"/>
      <c r="GF64" s="91"/>
      <c r="GG64" s="91"/>
      <c r="GH64" s="91"/>
      <c r="GI64" s="91"/>
      <c r="GJ64" s="91"/>
      <c r="GK64" s="91"/>
      <c r="GL64" s="91"/>
      <c r="GM64" s="91"/>
      <c r="GN64" s="91"/>
      <c r="GO64" s="91"/>
      <c r="GP64" s="91"/>
      <c r="GQ64" s="91"/>
      <c r="GR64" s="91"/>
      <c r="GS64" s="91"/>
      <c r="GT64" s="91"/>
      <c r="GU64" s="91"/>
      <c r="GV64" s="91"/>
      <c r="GW64" s="91"/>
      <c r="GX64" s="91"/>
      <c r="GY64" s="91"/>
      <c r="GZ64" s="91"/>
      <c r="HA64" s="91"/>
      <c r="HB64" s="91"/>
      <c r="HC64" s="91"/>
      <c r="HD64" s="91"/>
      <c r="HE64" s="91"/>
      <c r="HF64" s="91"/>
      <c r="HG64" s="91"/>
      <c r="HH64" s="91"/>
      <c r="HI64" s="91"/>
      <c r="HJ64" s="91"/>
      <c r="HK64" s="91"/>
      <c r="HL64" s="91"/>
      <c r="HM64" s="91"/>
      <c r="HN64" s="91"/>
      <c r="HO64" s="91"/>
      <c r="HP64" s="91"/>
      <c r="HQ64" s="91"/>
      <c r="HR64" s="91"/>
      <c r="HS64" s="91"/>
      <c r="HT64" s="91"/>
      <c r="HU64" s="91"/>
      <c r="HV64" s="91"/>
      <c r="HW64" s="91"/>
      <c r="HX64" s="91"/>
      <c r="HY64" s="91"/>
      <c r="HZ64" s="91"/>
      <c r="IA64" s="91"/>
      <c r="IB64" s="91"/>
      <c r="IC64" s="91"/>
      <c r="ID64" s="91"/>
      <c r="IE64" s="91"/>
      <c r="IF64" s="91"/>
      <c r="IG64" s="91"/>
      <c r="IH64" s="91"/>
    </row>
    <row r="65" ht="15.75" customHeight="1">
      <c r="A65" s="4"/>
      <c r="B65" s="4"/>
      <c r="C65" s="20" t="s">
        <v>182</v>
      </c>
      <c r="D65" s="7" t="s">
        <v>183</v>
      </c>
      <c r="E65" s="20" t="s">
        <v>84</v>
      </c>
      <c r="F65" s="87">
        <v>46134.0</v>
      </c>
      <c r="G65" s="87">
        <v>46137.0</v>
      </c>
      <c r="H65" s="20">
        <f>NETWORKDAYS(F65,G65)</f>
        <v>3</v>
      </c>
      <c r="I65" s="88" t="s">
        <v>34</v>
      </c>
      <c r="J65" s="104">
        <v>1.0</v>
      </c>
      <c r="K65" s="88" t="s">
        <v>166</v>
      </c>
      <c r="L65" s="4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91"/>
      <c r="EB65" s="91"/>
      <c r="EC65" s="91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91"/>
      <c r="EO65" s="91"/>
      <c r="EP65" s="91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91"/>
      <c r="FB65" s="91"/>
      <c r="FC65" s="91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91"/>
      <c r="FO65" s="91"/>
      <c r="FP65" s="91"/>
      <c r="FQ65" s="91"/>
      <c r="FR65" s="91"/>
      <c r="FS65" s="91"/>
      <c r="FT65" s="91"/>
      <c r="FU65" s="91"/>
      <c r="FV65" s="91"/>
      <c r="FW65" s="91"/>
      <c r="FX65" s="91"/>
      <c r="FY65" s="91"/>
      <c r="FZ65" s="91"/>
      <c r="GA65" s="91"/>
      <c r="GB65" s="91"/>
      <c r="GC65" s="91"/>
      <c r="GD65" s="91"/>
      <c r="GE65" s="91"/>
      <c r="GF65" s="91"/>
      <c r="GG65" s="91"/>
      <c r="GH65" s="91"/>
      <c r="GI65" s="91"/>
      <c r="GJ65" s="91"/>
      <c r="GK65" s="91"/>
      <c r="GL65" s="91"/>
      <c r="GM65" s="91"/>
      <c r="GN65" s="91"/>
      <c r="GO65" s="91"/>
      <c r="GP65" s="91"/>
      <c r="GQ65" s="91"/>
      <c r="GR65" s="91"/>
      <c r="GS65" s="91"/>
      <c r="GT65" s="91"/>
      <c r="GU65" s="91"/>
      <c r="GV65" s="91"/>
      <c r="GW65" s="91"/>
      <c r="GX65" s="91"/>
      <c r="GY65" s="91"/>
      <c r="GZ65" s="91"/>
      <c r="HA65" s="91"/>
      <c r="HB65" s="91"/>
      <c r="HC65" s="91"/>
      <c r="HD65" s="91"/>
      <c r="HE65" s="91"/>
      <c r="HF65" s="91"/>
      <c r="HG65" s="91"/>
      <c r="HH65" s="91"/>
      <c r="HI65" s="91"/>
      <c r="HJ65" s="91"/>
      <c r="HK65" s="91"/>
      <c r="HL65" s="91"/>
      <c r="HM65" s="91"/>
      <c r="HN65" s="91"/>
      <c r="HO65" s="91"/>
      <c r="HP65" s="91"/>
      <c r="HQ65" s="91"/>
      <c r="HR65" s="91"/>
      <c r="HS65" s="91"/>
      <c r="HT65" s="91"/>
      <c r="HU65" s="91"/>
      <c r="HV65" s="91"/>
      <c r="HW65" s="91"/>
      <c r="HX65" s="91"/>
      <c r="HY65" s="91"/>
      <c r="HZ65" s="91"/>
      <c r="IA65" s="91"/>
      <c r="IB65" s="91"/>
      <c r="IC65" s="91"/>
      <c r="ID65" s="91"/>
      <c r="IE65" s="91"/>
      <c r="IF65" s="91"/>
      <c r="IG65" s="91"/>
      <c r="IH65" s="91"/>
    </row>
    <row r="66" ht="15.75" customHeight="1">
      <c r="A66" s="4"/>
      <c r="B66" s="4"/>
      <c r="C66" s="5" t="s">
        <v>184</v>
      </c>
      <c r="D66" s="7" t="s">
        <v>185</v>
      </c>
      <c r="E66" s="100" t="s">
        <v>84</v>
      </c>
      <c r="F66" s="93">
        <v>46136.0</v>
      </c>
      <c r="G66" s="93">
        <v>46137.0</v>
      </c>
      <c r="H66" s="20">
        <f t="shared" ref="H66:H78" si="3">G66-F66</f>
        <v>1</v>
      </c>
      <c r="I66" s="88" t="s">
        <v>34</v>
      </c>
      <c r="J66" s="104">
        <v>1.0</v>
      </c>
      <c r="K66" s="88" t="s">
        <v>186</v>
      </c>
      <c r="L66" s="4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DY66" s="91"/>
      <c r="DZ66" s="91"/>
      <c r="EA66" s="91"/>
      <c r="EB66" s="91"/>
      <c r="EC66" s="91"/>
      <c r="ED66" s="91"/>
      <c r="EE66" s="91"/>
      <c r="EF66" s="91"/>
      <c r="EG66" s="91"/>
      <c r="EH66" s="91"/>
      <c r="EI66" s="91"/>
      <c r="EJ66" s="91"/>
      <c r="EK66" s="91"/>
      <c r="EL66" s="91"/>
      <c r="EM66" s="91"/>
      <c r="EN66" s="91"/>
      <c r="EO66" s="91"/>
      <c r="EP66" s="91"/>
      <c r="EQ66" s="91"/>
      <c r="ER66" s="91"/>
      <c r="ES66" s="91"/>
      <c r="ET66" s="91"/>
      <c r="EU66" s="91"/>
      <c r="EV66" s="91"/>
      <c r="EW66" s="91"/>
      <c r="EX66" s="91"/>
      <c r="EY66" s="91"/>
      <c r="EZ66" s="91"/>
      <c r="FA66" s="91"/>
      <c r="FB66" s="91"/>
      <c r="FC66" s="91"/>
      <c r="FD66" s="91"/>
      <c r="FE66" s="91"/>
      <c r="FF66" s="91"/>
      <c r="FG66" s="91"/>
      <c r="FH66" s="91"/>
      <c r="FI66" s="91"/>
      <c r="FJ66" s="91"/>
      <c r="FK66" s="91"/>
      <c r="FL66" s="91"/>
      <c r="FM66" s="91"/>
      <c r="FN66" s="91"/>
      <c r="FO66" s="91"/>
      <c r="FP66" s="91"/>
      <c r="FQ66" s="91"/>
      <c r="FR66" s="91"/>
      <c r="FS66" s="91"/>
      <c r="FT66" s="91"/>
      <c r="FU66" s="91"/>
      <c r="FV66" s="91"/>
      <c r="FW66" s="91"/>
      <c r="FX66" s="91"/>
      <c r="FY66" s="91"/>
      <c r="FZ66" s="91"/>
      <c r="GA66" s="91"/>
      <c r="GB66" s="91"/>
      <c r="GC66" s="91"/>
      <c r="GD66" s="91"/>
      <c r="GE66" s="91"/>
      <c r="GF66" s="91"/>
      <c r="GG66" s="91"/>
      <c r="GH66" s="91"/>
      <c r="GI66" s="91"/>
      <c r="GJ66" s="91"/>
      <c r="GK66" s="91"/>
      <c r="GL66" s="91"/>
      <c r="GM66" s="91"/>
      <c r="GN66" s="91"/>
      <c r="GO66" s="91"/>
      <c r="GP66" s="91"/>
      <c r="GQ66" s="91"/>
      <c r="GR66" s="91"/>
      <c r="GS66" s="91"/>
      <c r="GT66" s="91"/>
      <c r="GU66" s="91"/>
      <c r="GV66" s="91"/>
      <c r="GW66" s="91"/>
      <c r="GX66" s="91"/>
      <c r="GY66" s="91"/>
      <c r="GZ66" s="91"/>
      <c r="HA66" s="91"/>
      <c r="HB66" s="91"/>
      <c r="HC66" s="91"/>
      <c r="HD66" s="91"/>
      <c r="HE66" s="91"/>
      <c r="HF66" s="91"/>
      <c r="HG66" s="91"/>
      <c r="HH66" s="91"/>
      <c r="HI66" s="91"/>
      <c r="HJ66" s="91"/>
      <c r="HK66" s="91"/>
      <c r="HL66" s="91"/>
      <c r="HM66" s="91"/>
      <c r="HN66" s="91"/>
      <c r="HO66" s="91"/>
      <c r="HP66" s="91"/>
      <c r="HQ66" s="91"/>
      <c r="HR66" s="91"/>
      <c r="HS66" s="91"/>
      <c r="HT66" s="91"/>
      <c r="HU66" s="91"/>
      <c r="HV66" s="91"/>
      <c r="HW66" s="91"/>
      <c r="HX66" s="91"/>
      <c r="HY66" s="91"/>
      <c r="HZ66" s="91"/>
      <c r="IA66" s="91"/>
      <c r="IB66" s="91"/>
      <c r="IC66" s="91"/>
      <c r="ID66" s="91"/>
      <c r="IE66" s="91"/>
      <c r="IF66" s="91"/>
      <c r="IG66" s="91"/>
      <c r="IH66" s="91"/>
    </row>
    <row r="67" ht="15.75" customHeight="1">
      <c r="A67" s="4"/>
      <c r="B67" s="4"/>
      <c r="C67" s="20" t="s">
        <v>187</v>
      </c>
      <c r="D67" s="7" t="s">
        <v>188</v>
      </c>
      <c r="E67" s="20" t="s">
        <v>46</v>
      </c>
      <c r="F67" s="87">
        <v>46136.0</v>
      </c>
      <c r="G67" s="87">
        <v>46138.0</v>
      </c>
      <c r="H67" s="20">
        <f t="shared" si="3"/>
        <v>2</v>
      </c>
      <c r="I67" s="88" t="s">
        <v>34</v>
      </c>
      <c r="J67" s="89">
        <f t="array" ref="J67">IFS(I67="Completo",100%,I67="Não iniciado",0%,I67="Em Progresso",50%)</f>
        <v>1</v>
      </c>
      <c r="K67" s="90" t="s">
        <v>189</v>
      </c>
      <c r="L67" s="4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DY67" s="91"/>
      <c r="DZ67" s="91"/>
      <c r="EA67" s="91"/>
      <c r="EB67" s="91"/>
      <c r="EC67" s="91"/>
      <c r="ED67" s="91"/>
      <c r="EE67" s="91"/>
      <c r="EF67" s="91"/>
      <c r="EG67" s="91"/>
      <c r="EH67" s="91"/>
      <c r="EI67" s="91"/>
      <c r="EJ67" s="91"/>
      <c r="EK67" s="91"/>
      <c r="EL67" s="91"/>
      <c r="EM67" s="91"/>
      <c r="EN67" s="91"/>
      <c r="EO67" s="91"/>
      <c r="EP67" s="91"/>
      <c r="EQ67" s="91"/>
      <c r="ER67" s="91"/>
      <c r="ES67" s="91"/>
      <c r="ET67" s="91"/>
      <c r="EU67" s="91"/>
      <c r="EV67" s="91"/>
      <c r="EW67" s="91"/>
      <c r="EX67" s="91"/>
      <c r="EY67" s="91"/>
      <c r="EZ67" s="91"/>
      <c r="FA67" s="91"/>
      <c r="FB67" s="91"/>
      <c r="FC67" s="91"/>
      <c r="FD67" s="91"/>
      <c r="FE67" s="91"/>
      <c r="FF67" s="91"/>
      <c r="FG67" s="91"/>
      <c r="FH67" s="91"/>
      <c r="FI67" s="91"/>
      <c r="FJ67" s="91"/>
      <c r="FK67" s="91"/>
      <c r="FL67" s="91"/>
      <c r="FM67" s="91"/>
      <c r="FN67" s="91"/>
      <c r="FO67" s="91"/>
      <c r="FP67" s="91"/>
      <c r="FQ67" s="91"/>
      <c r="FR67" s="91"/>
      <c r="FS67" s="91"/>
      <c r="FT67" s="91"/>
      <c r="FU67" s="91"/>
      <c r="FV67" s="91"/>
      <c r="FW67" s="91"/>
      <c r="FX67" s="91"/>
      <c r="FY67" s="91"/>
      <c r="FZ67" s="91"/>
      <c r="GA67" s="91"/>
      <c r="GB67" s="91"/>
      <c r="GC67" s="91"/>
      <c r="GD67" s="91"/>
      <c r="GE67" s="91"/>
      <c r="GF67" s="91"/>
      <c r="GG67" s="91"/>
      <c r="GH67" s="91"/>
      <c r="GI67" s="91"/>
      <c r="GJ67" s="91"/>
      <c r="GK67" s="91"/>
      <c r="GL67" s="91"/>
      <c r="GM67" s="91"/>
      <c r="GN67" s="91"/>
      <c r="GO67" s="91"/>
      <c r="GP67" s="91"/>
      <c r="GQ67" s="91"/>
      <c r="GR67" s="91"/>
      <c r="GS67" s="91"/>
      <c r="GT67" s="91"/>
      <c r="GU67" s="91"/>
      <c r="GV67" s="91"/>
      <c r="GW67" s="91"/>
      <c r="GX67" s="91"/>
      <c r="GY67" s="91"/>
      <c r="GZ67" s="91"/>
      <c r="HA67" s="91"/>
      <c r="HB67" s="91"/>
      <c r="HC67" s="91"/>
      <c r="HD67" s="91"/>
      <c r="HE67" s="91"/>
      <c r="HF67" s="91"/>
      <c r="HG67" s="91"/>
      <c r="HH67" s="91"/>
      <c r="HI67" s="91"/>
      <c r="HJ67" s="91"/>
      <c r="HK67" s="91"/>
      <c r="HL67" s="91"/>
      <c r="HM67" s="91"/>
      <c r="HN67" s="91"/>
      <c r="HO67" s="91"/>
      <c r="HP67" s="91"/>
      <c r="HQ67" s="91"/>
      <c r="HR67" s="91"/>
      <c r="HS67" s="91"/>
      <c r="HT67" s="91"/>
      <c r="HU67" s="91"/>
      <c r="HV67" s="91"/>
      <c r="HW67" s="91"/>
      <c r="HX67" s="91"/>
      <c r="HY67" s="91"/>
      <c r="HZ67" s="91"/>
      <c r="IA67" s="91"/>
      <c r="IB67" s="91"/>
      <c r="IC67" s="91"/>
      <c r="ID67" s="91"/>
      <c r="IE67" s="91"/>
      <c r="IF67" s="91"/>
      <c r="IG67" s="91"/>
      <c r="IH67" s="91"/>
    </row>
    <row r="68" ht="15.75" customHeight="1">
      <c r="A68" s="4"/>
      <c r="B68" s="4"/>
      <c r="C68" s="5" t="s">
        <v>190</v>
      </c>
      <c r="D68" s="7" t="s">
        <v>191</v>
      </c>
      <c r="E68" s="5" t="s">
        <v>59</v>
      </c>
      <c r="F68" s="101">
        <v>46137.0</v>
      </c>
      <c r="G68" s="101">
        <v>46139.0</v>
      </c>
      <c r="H68" s="20">
        <f t="shared" si="3"/>
        <v>2</v>
      </c>
      <c r="I68" s="88" t="s">
        <v>34</v>
      </c>
      <c r="J68" s="105">
        <v>1.0</v>
      </c>
      <c r="K68" s="88" t="s">
        <v>192</v>
      </c>
      <c r="L68" s="4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DY68" s="91"/>
      <c r="DZ68" s="91"/>
      <c r="EA68" s="91"/>
      <c r="EB68" s="91"/>
      <c r="EC68" s="91"/>
      <c r="ED68" s="91"/>
      <c r="EE68" s="91"/>
      <c r="EF68" s="91"/>
      <c r="EG68" s="91"/>
      <c r="EH68" s="91"/>
      <c r="EI68" s="91"/>
      <c r="EJ68" s="91"/>
      <c r="EK68" s="91"/>
      <c r="EL68" s="91"/>
      <c r="EM68" s="91"/>
      <c r="EN68" s="91"/>
      <c r="EO68" s="91"/>
      <c r="EP68" s="91"/>
      <c r="EQ68" s="91"/>
      <c r="ER68" s="91"/>
      <c r="ES68" s="91"/>
      <c r="ET68" s="91"/>
      <c r="EU68" s="91"/>
      <c r="EV68" s="91"/>
      <c r="EW68" s="91"/>
      <c r="EX68" s="91"/>
      <c r="EY68" s="91"/>
      <c r="EZ68" s="91"/>
      <c r="FA68" s="91"/>
      <c r="FB68" s="91"/>
      <c r="FC68" s="91"/>
      <c r="FD68" s="91"/>
      <c r="FE68" s="91"/>
      <c r="FF68" s="91"/>
      <c r="FG68" s="91"/>
      <c r="FH68" s="91"/>
      <c r="FI68" s="91"/>
      <c r="FJ68" s="91"/>
      <c r="FK68" s="91"/>
      <c r="FL68" s="91"/>
      <c r="FM68" s="91"/>
      <c r="FN68" s="91"/>
      <c r="FO68" s="91"/>
      <c r="FP68" s="91"/>
      <c r="FQ68" s="91"/>
      <c r="FR68" s="91"/>
      <c r="FS68" s="91"/>
      <c r="FT68" s="91"/>
      <c r="FU68" s="91"/>
      <c r="FV68" s="91"/>
      <c r="FW68" s="91"/>
      <c r="FX68" s="91"/>
      <c r="FY68" s="91"/>
      <c r="FZ68" s="91"/>
      <c r="GA68" s="91"/>
      <c r="GB68" s="91"/>
      <c r="GC68" s="91"/>
      <c r="GD68" s="91"/>
      <c r="GE68" s="91"/>
      <c r="GF68" s="91"/>
      <c r="GG68" s="91"/>
      <c r="GH68" s="91"/>
      <c r="GI68" s="91"/>
      <c r="GJ68" s="91"/>
      <c r="GK68" s="91"/>
      <c r="GL68" s="91"/>
      <c r="GM68" s="91"/>
      <c r="GN68" s="91"/>
      <c r="GO68" s="91"/>
      <c r="GP68" s="91"/>
      <c r="GQ68" s="91"/>
      <c r="GR68" s="91"/>
      <c r="GS68" s="91"/>
      <c r="GT68" s="91"/>
      <c r="GU68" s="91"/>
      <c r="GV68" s="91"/>
      <c r="GW68" s="91"/>
      <c r="GX68" s="91"/>
      <c r="GY68" s="91"/>
      <c r="GZ68" s="91"/>
      <c r="HA68" s="91"/>
      <c r="HB68" s="91"/>
      <c r="HC68" s="91"/>
      <c r="HD68" s="91"/>
      <c r="HE68" s="91"/>
      <c r="HF68" s="91"/>
      <c r="HG68" s="91"/>
      <c r="HH68" s="91"/>
      <c r="HI68" s="91"/>
      <c r="HJ68" s="91"/>
      <c r="HK68" s="91"/>
      <c r="HL68" s="91"/>
      <c r="HM68" s="91"/>
      <c r="HN68" s="91"/>
      <c r="HO68" s="91"/>
      <c r="HP68" s="91"/>
      <c r="HQ68" s="91"/>
      <c r="HR68" s="91"/>
      <c r="HS68" s="91"/>
      <c r="HT68" s="91"/>
      <c r="HU68" s="91"/>
      <c r="HV68" s="91"/>
      <c r="HW68" s="91"/>
      <c r="HX68" s="91"/>
      <c r="HY68" s="91"/>
      <c r="HZ68" s="91"/>
      <c r="IA68" s="91"/>
      <c r="IB68" s="91"/>
      <c r="IC68" s="91"/>
      <c r="ID68" s="91"/>
      <c r="IE68" s="91"/>
      <c r="IF68" s="91"/>
      <c r="IG68" s="91"/>
      <c r="IH68" s="91"/>
    </row>
    <row r="69" ht="15.75" customHeight="1">
      <c r="A69" s="4"/>
      <c r="B69" s="4"/>
      <c r="C69" s="5" t="s">
        <v>193</v>
      </c>
      <c r="D69" s="7" t="s">
        <v>194</v>
      </c>
      <c r="E69" s="100" t="s">
        <v>59</v>
      </c>
      <c r="F69" s="93">
        <v>46137.0</v>
      </c>
      <c r="G69" s="93">
        <v>46139.0</v>
      </c>
      <c r="H69" s="20">
        <f t="shared" si="3"/>
        <v>2</v>
      </c>
      <c r="I69" s="88" t="s">
        <v>34</v>
      </c>
      <c r="J69" s="104">
        <v>1.0</v>
      </c>
      <c r="K69" s="88" t="s">
        <v>37</v>
      </c>
      <c r="L69" s="4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DY69" s="91"/>
      <c r="DZ69" s="91"/>
      <c r="EA69" s="91"/>
      <c r="EB69" s="91"/>
      <c r="EC69" s="91"/>
      <c r="ED69" s="91"/>
      <c r="EE69" s="91"/>
      <c r="EF69" s="91"/>
      <c r="EG69" s="91"/>
      <c r="EH69" s="91"/>
      <c r="EI69" s="91"/>
      <c r="EJ69" s="91"/>
      <c r="EK69" s="91"/>
      <c r="EL69" s="91"/>
      <c r="EM69" s="91"/>
      <c r="EN69" s="91"/>
      <c r="EO69" s="91"/>
      <c r="EP69" s="91"/>
      <c r="EQ69" s="91"/>
      <c r="ER69" s="91"/>
      <c r="ES69" s="91"/>
      <c r="ET69" s="91"/>
      <c r="EU69" s="91"/>
      <c r="EV69" s="91"/>
      <c r="EW69" s="91"/>
      <c r="EX69" s="91"/>
      <c r="EY69" s="91"/>
      <c r="EZ69" s="91"/>
      <c r="FA69" s="91"/>
      <c r="FB69" s="91"/>
      <c r="FC69" s="91"/>
      <c r="FD69" s="91"/>
      <c r="FE69" s="91"/>
      <c r="FF69" s="91"/>
      <c r="FG69" s="91"/>
      <c r="FH69" s="91"/>
      <c r="FI69" s="91"/>
      <c r="FJ69" s="91"/>
      <c r="FK69" s="91"/>
      <c r="FL69" s="91"/>
      <c r="FM69" s="91"/>
      <c r="FN69" s="91"/>
      <c r="FO69" s="91"/>
      <c r="FP69" s="91"/>
      <c r="FQ69" s="91"/>
      <c r="FR69" s="91"/>
      <c r="FS69" s="91"/>
      <c r="FT69" s="91"/>
      <c r="FU69" s="91"/>
      <c r="FV69" s="91"/>
      <c r="FW69" s="91"/>
      <c r="FX69" s="91"/>
      <c r="FY69" s="91"/>
      <c r="FZ69" s="91"/>
      <c r="GA69" s="91"/>
      <c r="GB69" s="91"/>
      <c r="GC69" s="91"/>
      <c r="GD69" s="91"/>
      <c r="GE69" s="91"/>
      <c r="GF69" s="91"/>
      <c r="GG69" s="91"/>
      <c r="GH69" s="91"/>
      <c r="GI69" s="91"/>
      <c r="GJ69" s="91"/>
      <c r="GK69" s="91"/>
      <c r="GL69" s="91"/>
      <c r="GM69" s="91"/>
      <c r="GN69" s="91"/>
      <c r="GO69" s="91"/>
      <c r="GP69" s="91"/>
      <c r="GQ69" s="91"/>
      <c r="GR69" s="91"/>
      <c r="GS69" s="91"/>
      <c r="GT69" s="91"/>
      <c r="GU69" s="91"/>
      <c r="GV69" s="91"/>
      <c r="GW69" s="91"/>
      <c r="GX69" s="91"/>
      <c r="GY69" s="91"/>
      <c r="GZ69" s="91"/>
      <c r="HA69" s="91"/>
      <c r="HB69" s="91"/>
      <c r="HC69" s="91"/>
      <c r="HD69" s="91"/>
      <c r="HE69" s="91"/>
      <c r="HF69" s="91"/>
      <c r="HG69" s="91"/>
      <c r="HH69" s="91"/>
      <c r="HI69" s="91"/>
      <c r="HJ69" s="91"/>
      <c r="HK69" s="91"/>
      <c r="HL69" s="91"/>
      <c r="HM69" s="91"/>
      <c r="HN69" s="91"/>
      <c r="HO69" s="91"/>
      <c r="HP69" s="91"/>
      <c r="HQ69" s="91"/>
      <c r="HR69" s="91"/>
      <c r="HS69" s="91"/>
      <c r="HT69" s="91"/>
      <c r="HU69" s="91"/>
      <c r="HV69" s="91"/>
      <c r="HW69" s="91"/>
      <c r="HX69" s="91"/>
      <c r="HY69" s="91"/>
      <c r="HZ69" s="91"/>
      <c r="IA69" s="91"/>
      <c r="IB69" s="91"/>
      <c r="IC69" s="91"/>
      <c r="ID69" s="91"/>
      <c r="IE69" s="91"/>
      <c r="IF69" s="91"/>
      <c r="IG69" s="91"/>
      <c r="IH69" s="91"/>
    </row>
    <row r="70" ht="15.75" customHeight="1">
      <c r="A70" s="4"/>
      <c r="B70" s="4"/>
      <c r="C70" s="5" t="s">
        <v>195</v>
      </c>
      <c r="D70" s="7" t="s">
        <v>196</v>
      </c>
      <c r="E70" s="100" t="s">
        <v>46</v>
      </c>
      <c r="F70" s="93">
        <v>46137.0</v>
      </c>
      <c r="G70" s="93">
        <v>46144.0</v>
      </c>
      <c r="H70" s="20">
        <f t="shared" si="3"/>
        <v>7</v>
      </c>
      <c r="I70" s="88" t="s">
        <v>34</v>
      </c>
      <c r="J70" s="104">
        <v>1.0</v>
      </c>
      <c r="K70" s="100" t="s">
        <v>192</v>
      </c>
      <c r="L70" s="4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DY70" s="91"/>
      <c r="DZ70" s="91"/>
      <c r="EA70" s="91"/>
      <c r="EB70" s="91"/>
      <c r="EC70" s="91"/>
      <c r="ED70" s="91"/>
      <c r="EE70" s="91"/>
      <c r="EF70" s="91"/>
      <c r="EG70" s="91"/>
      <c r="EH70" s="91"/>
      <c r="EI70" s="91"/>
      <c r="EJ70" s="91"/>
      <c r="EK70" s="91"/>
      <c r="EL70" s="91"/>
      <c r="EM70" s="91"/>
      <c r="EN70" s="91"/>
      <c r="EO70" s="91"/>
      <c r="EP70" s="91"/>
      <c r="EQ70" s="91"/>
      <c r="ER70" s="91"/>
      <c r="ES70" s="91"/>
      <c r="ET70" s="91"/>
      <c r="EU70" s="91"/>
      <c r="EV70" s="91"/>
      <c r="EW70" s="91"/>
      <c r="EX70" s="91"/>
      <c r="EY70" s="91"/>
      <c r="EZ70" s="91"/>
      <c r="FA70" s="91"/>
      <c r="FB70" s="91"/>
      <c r="FC70" s="91"/>
      <c r="FD70" s="91"/>
      <c r="FE70" s="91"/>
      <c r="FF70" s="91"/>
      <c r="FG70" s="91"/>
      <c r="FH70" s="91"/>
      <c r="FI70" s="91"/>
      <c r="FJ70" s="91"/>
      <c r="FK70" s="91"/>
      <c r="FL70" s="91"/>
      <c r="FM70" s="91"/>
      <c r="FN70" s="91"/>
      <c r="FO70" s="91"/>
      <c r="FP70" s="91"/>
      <c r="FQ70" s="91"/>
      <c r="FR70" s="91"/>
      <c r="FS70" s="91"/>
      <c r="FT70" s="91"/>
      <c r="FU70" s="91"/>
      <c r="FV70" s="91"/>
      <c r="FW70" s="91"/>
      <c r="FX70" s="91"/>
      <c r="FY70" s="91"/>
      <c r="FZ70" s="91"/>
      <c r="GA70" s="91"/>
      <c r="GB70" s="91"/>
      <c r="GC70" s="91"/>
      <c r="GD70" s="91"/>
      <c r="GE70" s="91"/>
      <c r="GF70" s="91"/>
      <c r="GG70" s="91"/>
      <c r="GH70" s="91"/>
      <c r="GI70" s="91"/>
      <c r="GJ70" s="91"/>
      <c r="GK70" s="91"/>
      <c r="GL70" s="91"/>
      <c r="GM70" s="91"/>
      <c r="GN70" s="91"/>
      <c r="GO70" s="91"/>
      <c r="GP70" s="91"/>
      <c r="GQ70" s="91"/>
      <c r="GR70" s="91"/>
      <c r="GS70" s="91"/>
      <c r="GT70" s="91"/>
      <c r="GU70" s="91"/>
      <c r="GV70" s="91"/>
      <c r="GW70" s="91"/>
      <c r="GX70" s="91"/>
      <c r="GY70" s="91"/>
      <c r="GZ70" s="91"/>
      <c r="HA70" s="91"/>
      <c r="HB70" s="91"/>
      <c r="HC70" s="91"/>
      <c r="HD70" s="91"/>
      <c r="HE70" s="91"/>
      <c r="HF70" s="91"/>
      <c r="HG70" s="91"/>
      <c r="HH70" s="91"/>
      <c r="HI70" s="91"/>
      <c r="HJ70" s="91"/>
      <c r="HK70" s="91"/>
      <c r="HL70" s="91"/>
      <c r="HM70" s="91"/>
      <c r="HN70" s="91"/>
      <c r="HO70" s="91"/>
      <c r="HP70" s="91"/>
      <c r="HQ70" s="91"/>
      <c r="HR70" s="91"/>
      <c r="HS70" s="91"/>
      <c r="HT70" s="91"/>
      <c r="HU70" s="91"/>
      <c r="HV70" s="91"/>
      <c r="HW70" s="91"/>
      <c r="HX70" s="91"/>
      <c r="HY70" s="91"/>
      <c r="HZ70" s="91"/>
      <c r="IA70" s="91"/>
      <c r="IB70" s="91"/>
      <c r="IC70" s="91"/>
      <c r="ID70" s="91"/>
      <c r="IE70" s="91"/>
      <c r="IF70" s="91"/>
      <c r="IG70" s="91"/>
      <c r="IH70" s="91"/>
    </row>
    <row r="71" ht="15.75" customHeight="1">
      <c r="A71" s="4"/>
      <c r="B71" s="4"/>
      <c r="C71" s="5" t="s">
        <v>197</v>
      </c>
      <c r="D71" s="7" t="s">
        <v>198</v>
      </c>
      <c r="E71" s="100" t="s">
        <v>39</v>
      </c>
      <c r="F71" s="93">
        <v>46137.0</v>
      </c>
      <c r="G71" s="93">
        <v>46144.0</v>
      </c>
      <c r="H71" s="20">
        <f t="shared" si="3"/>
        <v>7</v>
      </c>
      <c r="I71" s="88" t="s">
        <v>34</v>
      </c>
      <c r="J71" s="104">
        <v>1.0</v>
      </c>
      <c r="K71" s="88" t="s">
        <v>199</v>
      </c>
      <c r="L71" s="4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DY71" s="91"/>
      <c r="DZ71" s="91"/>
      <c r="EA71" s="91"/>
      <c r="EB71" s="91"/>
      <c r="EC71" s="91"/>
      <c r="ED71" s="91"/>
      <c r="EE71" s="91"/>
      <c r="EF71" s="91"/>
      <c r="EG71" s="91"/>
      <c r="EH71" s="91"/>
      <c r="EI71" s="91"/>
      <c r="EJ71" s="91"/>
      <c r="EK71" s="91"/>
      <c r="EL71" s="91"/>
      <c r="EM71" s="91"/>
      <c r="EN71" s="91"/>
      <c r="EO71" s="91"/>
      <c r="EP71" s="91"/>
      <c r="EQ71" s="91"/>
      <c r="ER71" s="91"/>
      <c r="ES71" s="91"/>
      <c r="ET71" s="91"/>
      <c r="EU71" s="91"/>
      <c r="EV71" s="91"/>
      <c r="EW71" s="91"/>
      <c r="EX71" s="91"/>
      <c r="EY71" s="91"/>
      <c r="EZ71" s="91"/>
      <c r="FA71" s="91"/>
      <c r="FB71" s="91"/>
      <c r="FC71" s="91"/>
      <c r="FD71" s="91"/>
      <c r="FE71" s="91"/>
      <c r="FF71" s="91"/>
      <c r="FG71" s="91"/>
      <c r="FH71" s="91"/>
      <c r="FI71" s="91"/>
      <c r="FJ71" s="91"/>
      <c r="FK71" s="91"/>
      <c r="FL71" s="91"/>
      <c r="FM71" s="91"/>
      <c r="FN71" s="91"/>
      <c r="FO71" s="91"/>
      <c r="FP71" s="91"/>
      <c r="FQ71" s="91"/>
      <c r="FR71" s="91"/>
      <c r="FS71" s="91"/>
      <c r="FT71" s="91"/>
      <c r="FU71" s="91"/>
      <c r="FV71" s="91"/>
      <c r="FW71" s="91"/>
      <c r="FX71" s="91"/>
      <c r="FY71" s="91"/>
      <c r="FZ71" s="91"/>
      <c r="GA71" s="91"/>
      <c r="GB71" s="91"/>
      <c r="GC71" s="91"/>
      <c r="GD71" s="91"/>
      <c r="GE71" s="91"/>
      <c r="GF71" s="91"/>
      <c r="GG71" s="91"/>
      <c r="GH71" s="91"/>
      <c r="GI71" s="91"/>
      <c r="GJ71" s="91"/>
      <c r="GK71" s="91"/>
      <c r="GL71" s="91"/>
      <c r="GM71" s="91"/>
      <c r="GN71" s="91"/>
      <c r="GO71" s="91"/>
      <c r="GP71" s="91"/>
      <c r="GQ71" s="91"/>
      <c r="GR71" s="91"/>
      <c r="GS71" s="91"/>
      <c r="GT71" s="91"/>
      <c r="GU71" s="91"/>
      <c r="GV71" s="91"/>
      <c r="GW71" s="91"/>
      <c r="GX71" s="91"/>
      <c r="GY71" s="91"/>
      <c r="GZ71" s="91"/>
      <c r="HA71" s="91"/>
      <c r="HB71" s="91"/>
      <c r="HC71" s="91"/>
      <c r="HD71" s="91"/>
      <c r="HE71" s="91"/>
      <c r="HF71" s="91"/>
      <c r="HG71" s="91"/>
      <c r="HH71" s="91"/>
      <c r="HI71" s="91"/>
      <c r="HJ71" s="91"/>
      <c r="HK71" s="91"/>
      <c r="HL71" s="91"/>
      <c r="HM71" s="91"/>
      <c r="HN71" s="91"/>
      <c r="HO71" s="91"/>
      <c r="HP71" s="91"/>
      <c r="HQ71" s="91"/>
      <c r="HR71" s="91"/>
      <c r="HS71" s="91"/>
      <c r="HT71" s="91"/>
      <c r="HU71" s="91"/>
      <c r="HV71" s="91"/>
      <c r="HW71" s="91"/>
      <c r="HX71" s="91"/>
      <c r="HY71" s="91"/>
      <c r="HZ71" s="91"/>
      <c r="IA71" s="91"/>
      <c r="IB71" s="91"/>
      <c r="IC71" s="91"/>
      <c r="ID71" s="91"/>
      <c r="IE71" s="91"/>
      <c r="IF71" s="91"/>
      <c r="IG71" s="91"/>
      <c r="IH71" s="91"/>
    </row>
    <row r="72" ht="15.75" customHeight="1">
      <c r="A72" s="4"/>
      <c r="B72" s="4"/>
      <c r="C72" s="5" t="s">
        <v>200</v>
      </c>
      <c r="D72" s="7" t="s">
        <v>201</v>
      </c>
      <c r="E72" s="100" t="s">
        <v>84</v>
      </c>
      <c r="F72" s="93">
        <v>46138.0</v>
      </c>
      <c r="G72" s="93">
        <v>46139.0</v>
      </c>
      <c r="H72" s="20">
        <f t="shared" si="3"/>
        <v>1</v>
      </c>
      <c r="I72" s="88" t="s">
        <v>34</v>
      </c>
      <c r="J72" s="104">
        <v>1.0</v>
      </c>
      <c r="K72" s="88" t="s">
        <v>202</v>
      </c>
      <c r="L72" s="4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DY72" s="91"/>
      <c r="DZ72" s="91"/>
      <c r="EA72" s="91"/>
      <c r="EB72" s="91"/>
      <c r="EC72" s="91"/>
      <c r="ED72" s="91"/>
      <c r="EE72" s="91"/>
      <c r="EF72" s="91"/>
      <c r="EG72" s="91"/>
      <c r="EH72" s="91"/>
      <c r="EI72" s="91"/>
      <c r="EJ72" s="91"/>
      <c r="EK72" s="91"/>
      <c r="EL72" s="91"/>
      <c r="EM72" s="91"/>
      <c r="EN72" s="91"/>
      <c r="EO72" s="91"/>
      <c r="EP72" s="91"/>
      <c r="EQ72" s="91"/>
      <c r="ER72" s="91"/>
      <c r="ES72" s="91"/>
      <c r="ET72" s="91"/>
      <c r="EU72" s="91"/>
      <c r="EV72" s="91"/>
      <c r="EW72" s="91"/>
      <c r="EX72" s="91"/>
      <c r="EY72" s="91"/>
      <c r="EZ72" s="91"/>
      <c r="FA72" s="91"/>
      <c r="FB72" s="91"/>
      <c r="FC72" s="91"/>
      <c r="FD72" s="91"/>
      <c r="FE72" s="91"/>
      <c r="FF72" s="91"/>
      <c r="FG72" s="91"/>
      <c r="FH72" s="91"/>
      <c r="FI72" s="91"/>
      <c r="FJ72" s="91"/>
      <c r="FK72" s="91"/>
      <c r="FL72" s="91"/>
      <c r="FM72" s="91"/>
      <c r="FN72" s="91"/>
      <c r="FO72" s="91"/>
      <c r="FP72" s="91"/>
      <c r="FQ72" s="91"/>
      <c r="FR72" s="91"/>
      <c r="FS72" s="91"/>
      <c r="FT72" s="91"/>
      <c r="FU72" s="91"/>
      <c r="FV72" s="91"/>
      <c r="FW72" s="91"/>
      <c r="FX72" s="91"/>
      <c r="FY72" s="91"/>
      <c r="FZ72" s="91"/>
      <c r="GA72" s="91"/>
      <c r="GB72" s="91"/>
      <c r="GC72" s="91"/>
      <c r="GD72" s="91"/>
      <c r="GE72" s="91"/>
      <c r="GF72" s="91"/>
      <c r="GG72" s="91"/>
      <c r="GH72" s="91"/>
      <c r="GI72" s="91"/>
      <c r="GJ72" s="91"/>
      <c r="GK72" s="91"/>
      <c r="GL72" s="91"/>
      <c r="GM72" s="91"/>
      <c r="GN72" s="91"/>
      <c r="GO72" s="91"/>
      <c r="GP72" s="91"/>
      <c r="GQ72" s="91"/>
      <c r="GR72" s="91"/>
      <c r="GS72" s="91"/>
      <c r="GT72" s="91"/>
      <c r="GU72" s="91"/>
      <c r="GV72" s="91"/>
      <c r="GW72" s="91"/>
      <c r="GX72" s="91"/>
      <c r="GY72" s="91"/>
      <c r="GZ72" s="91"/>
      <c r="HA72" s="91"/>
      <c r="HB72" s="91"/>
      <c r="HC72" s="91"/>
      <c r="HD72" s="91"/>
      <c r="HE72" s="91"/>
      <c r="HF72" s="91"/>
      <c r="HG72" s="91"/>
      <c r="HH72" s="91"/>
      <c r="HI72" s="91"/>
      <c r="HJ72" s="91"/>
      <c r="HK72" s="91"/>
      <c r="HL72" s="91"/>
      <c r="HM72" s="91"/>
      <c r="HN72" s="91"/>
      <c r="HO72" s="91"/>
      <c r="HP72" s="91"/>
      <c r="HQ72" s="91"/>
      <c r="HR72" s="91"/>
      <c r="HS72" s="91"/>
      <c r="HT72" s="91"/>
      <c r="HU72" s="91"/>
      <c r="HV72" s="91"/>
      <c r="HW72" s="91"/>
      <c r="HX72" s="91"/>
      <c r="HY72" s="91"/>
      <c r="HZ72" s="91"/>
      <c r="IA72" s="91"/>
      <c r="IB72" s="91"/>
      <c r="IC72" s="91"/>
      <c r="ID72" s="91"/>
      <c r="IE72" s="91"/>
      <c r="IF72" s="91"/>
      <c r="IG72" s="91"/>
      <c r="IH72" s="91"/>
    </row>
    <row r="73" ht="15.75" customHeight="1">
      <c r="A73" s="4"/>
      <c r="B73" s="4"/>
      <c r="C73" s="20" t="s">
        <v>203</v>
      </c>
      <c r="D73" s="7" t="s">
        <v>204</v>
      </c>
      <c r="E73" s="20" t="s">
        <v>39</v>
      </c>
      <c r="F73" s="87">
        <v>46139.0</v>
      </c>
      <c r="G73" s="87">
        <v>46144.0</v>
      </c>
      <c r="H73" s="20">
        <f t="shared" si="3"/>
        <v>5</v>
      </c>
      <c r="I73" s="88" t="s">
        <v>34</v>
      </c>
      <c r="J73" s="89">
        <f t="array" ref="J73">IFS(I73="Completo",100%,I73="Não iniciado",0%,I73="Em Progresso",50%)</f>
        <v>1</v>
      </c>
      <c r="K73" s="90" t="s">
        <v>205</v>
      </c>
      <c r="L73" s="4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DY73" s="91"/>
      <c r="DZ73" s="91"/>
      <c r="EA73" s="91"/>
      <c r="EB73" s="91"/>
      <c r="EC73" s="91"/>
      <c r="ED73" s="91"/>
      <c r="EE73" s="91"/>
      <c r="EF73" s="91"/>
      <c r="EG73" s="91"/>
      <c r="EH73" s="91"/>
      <c r="EI73" s="91"/>
      <c r="EJ73" s="91"/>
      <c r="EK73" s="91"/>
      <c r="EL73" s="91"/>
      <c r="EM73" s="91"/>
      <c r="EN73" s="91"/>
      <c r="EO73" s="91"/>
      <c r="EP73" s="91"/>
      <c r="EQ73" s="91"/>
      <c r="ER73" s="91"/>
      <c r="ES73" s="91"/>
      <c r="ET73" s="91"/>
      <c r="EU73" s="91"/>
      <c r="EV73" s="91"/>
      <c r="EW73" s="91"/>
      <c r="EX73" s="91"/>
      <c r="EY73" s="91"/>
      <c r="EZ73" s="91"/>
      <c r="FA73" s="91"/>
      <c r="FB73" s="91"/>
      <c r="FC73" s="91"/>
      <c r="FD73" s="91"/>
      <c r="FE73" s="91"/>
      <c r="FF73" s="91"/>
      <c r="FG73" s="91"/>
      <c r="FH73" s="91"/>
      <c r="FI73" s="91"/>
      <c r="FJ73" s="91"/>
      <c r="FK73" s="91"/>
      <c r="FL73" s="91"/>
      <c r="FM73" s="91"/>
      <c r="FN73" s="91"/>
      <c r="FO73" s="91"/>
      <c r="FP73" s="91"/>
      <c r="FQ73" s="91"/>
      <c r="FR73" s="91"/>
      <c r="FS73" s="91"/>
      <c r="FT73" s="91"/>
      <c r="FU73" s="91"/>
      <c r="FV73" s="91"/>
      <c r="FW73" s="91"/>
      <c r="FX73" s="91"/>
      <c r="FY73" s="91"/>
      <c r="FZ73" s="91"/>
      <c r="GA73" s="91"/>
      <c r="GB73" s="91"/>
      <c r="GC73" s="91"/>
      <c r="GD73" s="91"/>
      <c r="GE73" s="91"/>
      <c r="GF73" s="91"/>
      <c r="GG73" s="91"/>
      <c r="GH73" s="91"/>
      <c r="GI73" s="91"/>
      <c r="GJ73" s="91"/>
      <c r="GK73" s="91"/>
      <c r="GL73" s="91"/>
      <c r="GM73" s="91"/>
      <c r="GN73" s="91"/>
      <c r="GO73" s="91"/>
      <c r="GP73" s="91"/>
      <c r="GQ73" s="91"/>
      <c r="GR73" s="91"/>
      <c r="GS73" s="91"/>
      <c r="GT73" s="91"/>
      <c r="GU73" s="91"/>
      <c r="GV73" s="91"/>
      <c r="GW73" s="91"/>
      <c r="GX73" s="91"/>
      <c r="GY73" s="91"/>
      <c r="GZ73" s="91"/>
      <c r="HA73" s="91"/>
      <c r="HB73" s="91"/>
      <c r="HC73" s="91"/>
      <c r="HD73" s="91"/>
      <c r="HE73" s="91"/>
      <c r="HF73" s="91"/>
      <c r="HG73" s="91"/>
      <c r="HH73" s="91"/>
      <c r="HI73" s="91"/>
      <c r="HJ73" s="91"/>
      <c r="HK73" s="91"/>
      <c r="HL73" s="91"/>
      <c r="HM73" s="91"/>
      <c r="HN73" s="91"/>
      <c r="HO73" s="91"/>
      <c r="HP73" s="91"/>
      <c r="HQ73" s="91"/>
      <c r="HR73" s="91"/>
      <c r="HS73" s="91"/>
      <c r="HT73" s="91"/>
      <c r="HU73" s="91"/>
      <c r="HV73" s="91"/>
      <c r="HW73" s="91"/>
      <c r="HX73" s="91"/>
      <c r="HY73" s="91"/>
      <c r="HZ73" s="91"/>
      <c r="IA73" s="91"/>
      <c r="IB73" s="91"/>
      <c r="IC73" s="91"/>
      <c r="ID73" s="91"/>
      <c r="IE73" s="91"/>
      <c r="IF73" s="91"/>
      <c r="IG73" s="91"/>
      <c r="IH73" s="91"/>
    </row>
    <row r="74" ht="15.75" customHeight="1">
      <c r="A74" s="4"/>
      <c r="B74" s="4"/>
      <c r="C74" s="5" t="s">
        <v>206</v>
      </c>
      <c r="D74" s="7" t="s">
        <v>207</v>
      </c>
      <c r="E74" s="5" t="s">
        <v>46</v>
      </c>
      <c r="F74" s="93">
        <v>46140.0</v>
      </c>
      <c r="G74" s="93">
        <v>46143.0</v>
      </c>
      <c r="H74" s="20">
        <f t="shared" si="3"/>
        <v>3</v>
      </c>
      <c r="I74" s="88" t="s">
        <v>34</v>
      </c>
      <c r="J74" s="89">
        <f t="array" ref="J74">IFS(I74="Completo",100%,I74="Não iniciado",0%,I74="Em Progresso",50%)</f>
        <v>1</v>
      </c>
      <c r="K74" s="5" t="s">
        <v>208</v>
      </c>
      <c r="L74" s="4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DY74" s="91"/>
      <c r="DZ74" s="91"/>
      <c r="EA74" s="91"/>
      <c r="EB74" s="91"/>
      <c r="EC74" s="91"/>
      <c r="ED74" s="91"/>
      <c r="EE74" s="91"/>
      <c r="EF74" s="91"/>
      <c r="EG74" s="91"/>
      <c r="EH74" s="91"/>
      <c r="EI74" s="91"/>
      <c r="EJ74" s="91"/>
      <c r="EK74" s="91"/>
      <c r="EL74" s="91"/>
      <c r="EM74" s="91"/>
      <c r="EN74" s="91"/>
      <c r="EO74" s="91"/>
      <c r="EP74" s="91"/>
      <c r="EQ74" s="91"/>
      <c r="ER74" s="91"/>
      <c r="ES74" s="91"/>
      <c r="ET74" s="91"/>
      <c r="EU74" s="91"/>
      <c r="EV74" s="91"/>
      <c r="EW74" s="91"/>
      <c r="EX74" s="91"/>
      <c r="EY74" s="91"/>
      <c r="EZ74" s="91"/>
      <c r="FA74" s="91"/>
      <c r="FB74" s="91"/>
      <c r="FC74" s="91"/>
      <c r="FD74" s="91"/>
      <c r="FE74" s="91"/>
      <c r="FF74" s="91"/>
      <c r="FG74" s="91"/>
      <c r="FH74" s="91"/>
      <c r="FI74" s="91"/>
      <c r="FJ74" s="91"/>
      <c r="FK74" s="91"/>
      <c r="FL74" s="91"/>
      <c r="FM74" s="91"/>
      <c r="FN74" s="91"/>
      <c r="FO74" s="91"/>
      <c r="FP74" s="91"/>
      <c r="FQ74" s="91"/>
      <c r="FR74" s="91"/>
      <c r="FS74" s="91"/>
      <c r="FT74" s="91"/>
      <c r="FU74" s="91"/>
      <c r="FV74" s="91"/>
      <c r="FW74" s="91"/>
      <c r="FX74" s="91"/>
      <c r="FY74" s="91"/>
      <c r="FZ74" s="91"/>
      <c r="GA74" s="91"/>
      <c r="GB74" s="91"/>
      <c r="GC74" s="91"/>
      <c r="GD74" s="91"/>
      <c r="GE74" s="91"/>
      <c r="GF74" s="91"/>
      <c r="GG74" s="91"/>
      <c r="GH74" s="91"/>
      <c r="GI74" s="91"/>
      <c r="GJ74" s="91"/>
      <c r="GK74" s="91"/>
      <c r="GL74" s="91"/>
      <c r="GM74" s="91"/>
      <c r="GN74" s="91"/>
      <c r="GO74" s="91"/>
      <c r="GP74" s="91"/>
      <c r="GQ74" s="91"/>
      <c r="GR74" s="91"/>
      <c r="GS74" s="91"/>
      <c r="GT74" s="91"/>
      <c r="GU74" s="91"/>
      <c r="GV74" s="91"/>
      <c r="GW74" s="91"/>
      <c r="GX74" s="91"/>
      <c r="GY74" s="91"/>
      <c r="GZ74" s="91"/>
      <c r="HA74" s="91"/>
      <c r="HB74" s="91"/>
      <c r="HC74" s="91"/>
      <c r="HD74" s="91"/>
      <c r="HE74" s="91"/>
      <c r="HF74" s="91"/>
      <c r="HG74" s="91"/>
      <c r="HH74" s="91"/>
      <c r="HI74" s="91"/>
      <c r="HJ74" s="91"/>
      <c r="HK74" s="91"/>
      <c r="HL74" s="91"/>
      <c r="HM74" s="91"/>
      <c r="HN74" s="91"/>
      <c r="HO74" s="91"/>
      <c r="HP74" s="91"/>
      <c r="HQ74" s="91"/>
      <c r="HR74" s="91"/>
      <c r="HS74" s="91"/>
      <c r="HT74" s="91"/>
      <c r="HU74" s="91"/>
      <c r="HV74" s="91"/>
      <c r="HW74" s="91"/>
      <c r="HX74" s="91"/>
      <c r="HY74" s="91"/>
      <c r="HZ74" s="91"/>
      <c r="IA74" s="91"/>
      <c r="IB74" s="91"/>
      <c r="IC74" s="91"/>
      <c r="ID74" s="91"/>
      <c r="IE74" s="91"/>
      <c r="IF74" s="91"/>
      <c r="IG74" s="91"/>
      <c r="IH74" s="91"/>
    </row>
    <row r="75" ht="27.0" customHeight="1">
      <c r="A75" s="4"/>
      <c r="B75" s="4"/>
      <c r="C75" s="94" t="s">
        <v>89</v>
      </c>
      <c r="D75" s="95" t="s">
        <v>90</v>
      </c>
      <c r="E75" s="94" t="s">
        <v>91</v>
      </c>
      <c r="F75" s="106">
        <v>46144.0</v>
      </c>
      <c r="G75" s="106">
        <v>46148.0</v>
      </c>
      <c r="H75" s="97">
        <f t="shared" si="3"/>
        <v>4</v>
      </c>
      <c r="I75" s="98" t="s">
        <v>34</v>
      </c>
      <c r="J75" s="99">
        <f t="array" ref="J75">IFS(I75="Completo",100%,I75="Não iniciado",0%,I75="Em Progresso",50%)</f>
        <v>1</v>
      </c>
      <c r="K75" s="94" t="s">
        <v>92</v>
      </c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1"/>
    </row>
    <row r="76" ht="27.0" customHeight="1">
      <c r="A76" s="4"/>
      <c r="B76" s="4"/>
      <c r="C76" s="94" t="s">
        <v>93</v>
      </c>
      <c r="D76" s="95" t="s">
        <v>94</v>
      </c>
      <c r="E76" s="94" t="s">
        <v>95</v>
      </c>
      <c r="F76" s="106">
        <v>46149.0</v>
      </c>
      <c r="G76" s="106">
        <v>46154.0</v>
      </c>
      <c r="H76" s="97">
        <f t="shared" si="3"/>
        <v>5</v>
      </c>
      <c r="I76" s="98" t="s">
        <v>34</v>
      </c>
      <c r="J76" s="99">
        <f t="array" ref="J76">IFS(I76="Completo",100%,I76="Não iniciado",0%,I76="Em Progresso",50%)</f>
        <v>1</v>
      </c>
      <c r="K76" s="94" t="s">
        <v>89</v>
      </c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DY76" s="91"/>
      <c r="DZ76" s="91"/>
      <c r="EA76" s="91"/>
      <c r="EB76" s="91"/>
      <c r="EC76" s="91"/>
      <c r="ED76" s="91"/>
      <c r="EE76" s="91"/>
      <c r="EF76" s="91"/>
      <c r="EG76" s="91"/>
      <c r="EH76" s="91"/>
      <c r="EI76" s="91"/>
      <c r="EJ76" s="91"/>
      <c r="EK76" s="91"/>
      <c r="EL76" s="91"/>
      <c r="EM76" s="91"/>
      <c r="EN76" s="91"/>
      <c r="EO76" s="91"/>
      <c r="EP76" s="91"/>
      <c r="EQ76" s="91"/>
      <c r="ER76" s="91"/>
      <c r="ES76" s="91"/>
      <c r="ET76" s="91"/>
      <c r="EU76" s="91"/>
      <c r="EV76" s="91"/>
      <c r="EW76" s="91"/>
      <c r="EX76" s="91"/>
      <c r="EY76" s="91"/>
      <c r="EZ76" s="91"/>
      <c r="FA76" s="91"/>
      <c r="FB76" s="91"/>
      <c r="FC76" s="91"/>
      <c r="FD76" s="91"/>
      <c r="FE76" s="91"/>
      <c r="FF76" s="91"/>
      <c r="FG76" s="91"/>
      <c r="FH76" s="91"/>
      <c r="FI76" s="91"/>
      <c r="FJ76" s="91"/>
      <c r="FK76" s="91"/>
      <c r="FL76" s="91"/>
      <c r="FM76" s="91"/>
      <c r="FN76" s="91"/>
      <c r="FO76" s="91"/>
      <c r="FP76" s="91"/>
      <c r="FQ76" s="91"/>
      <c r="FR76" s="91"/>
      <c r="FS76" s="91"/>
      <c r="FT76" s="91"/>
      <c r="FU76" s="91"/>
      <c r="FV76" s="91"/>
      <c r="FW76" s="91"/>
      <c r="FX76" s="91"/>
      <c r="FY76" s="91"/>
      <c r="FZ76" s="91"/>
      <c r="GA76" s="91"/>
      <c r="GB76" s="91"/>
      <c r="GC76" s="91"/>
      <c r="GD76" s="91"/>
      <c r="GE76" s="91"/>
      <c r="GF76" s="91"/>
      <c r="GG76" s="91"/>
      <c r="GH76" s="91"/>
      <c r="GI76" s="91"/>
      <c r="GJ76" s="91"/>
      <c r="GK76" s="91"/>
      <c r="GL76" s="91"/>
      <c r="GM76" s="91"/>
      <c r="GN76" s="91"/>
      <c r="GO76" s="91"/>
      <c r="GP76" s="91"/>
      <c r="GQ76" s="91"/>
      <c r="GR76" s="91"/>
      <c r="GS76" s="91"/>
      <c r="GT76" s="91"/>
      <c r="GU76" s="91"/>
      <c r="GV76" s="91"/>
      <c r="GW76" s="91"/>
      <c r="GX76" s="91"/>
      <c r="GY76" s="91"/>
      <c r="GZ76" s="91"/>
      <c r="HA76" s="91"/>
      <c r="HB76" s="91"/>
      <c r="HC76" s="91"/>
      <c r="HD76" s="91"/>
      <c r="HE76" s="91"/>
      <c r="HF76" s="91"/>
      <c r="HG76" s="91"/>
      <c r="HH76" s="91"/>
      <c r="HI76" s="91"/>
      <c r="HJ76" s="91"/>
      <c r="HK76" s="91"/>
      <c r="HL76" s="91"/>
      <c r="HM76" s="91"/>
      <c r="HN76" s="91"/>
      <c r="HO76" s="91"/>
      <c r="HP76" s="91"/>
      <c r="HQ76" s="91"/>
      <c r="HR76" s="91"/>
      <c r="HS76" s="91"/>
      <c r="HT76" s="91"/>
      <c r="HU76" s="91"/>
      <c r="HV76" s="91"/>
      <c r="HW76" s="91"/>
      <c r="HX76" s="91"/>
      <c r="HY76" s="91"/>
      <c r="HZ76" s="91"/>
      <c r="IA76" s="91"/>
      <c r="IB76" s="91"/>
      <c r="IC76" s="91"/>
      <c r="ID76" s="91"/>
      <c r="IE76" s="91"/>
      <c r="IF76" s="91"/>
      <c r="IG76" s="91"/>
      <c r="IH76" s="91"/>
    </row>
    <row r="77" ht="27.0" customHeight="1">
      <c r="A77" s="4"/>
      <c r="B77" s="4"/>
      <c r="C77" s="94" t="s">
        <v>96</v>
      </c>
      <c r="D77" s="95" t="s">
        <v>97</v>
      </c>
      <c r="E77" s="94" t="s">
        <v>95</v>
      </c>
      <c r="F77" s="106">
        <v>46155.0</v>
      </c>
      <c r="G77" s="106">
        <v>46160.0</v>
      </c>
      <c r="H77" s="97">
        <f t="shared" si="3"/>
        <v>5</v>
      </c>
      <c r="I77" s="98" t="s">
        <v>34</v>
      </c>
      <c r="J77" s="99">
        <f t="array" ref="J77">IFS(I77="Completo",100%,I77="Não iniciado",0%,I77="Em Progresso",50%)</f>
        <v>1</v>
      </c>
      <c r="K77" s="94" t="s">
        <v>93</v>
      </c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DY77" s="91"/>
      <c r="DZ77" s="91"/>
      <c r="EA77" s="91"/>
      <c r="EB77" s="91"/>
      <c r="EC77" s="91"/>
      <c r="ED77" s="91"/>
      <c r="EE77" s="91"/>
      <c r="EF77" s="91"/>
      <c r="EG77" s="91"/>
      <c r="EH77" s="91"/>
      <c r="EI77" s="91"/>
      <c r="EJ77" s="91"/>
      <c r="EK77" s="91"/>
      <c r="EL77" s="91"/>
      <c r="EM77" s="91"/>
      <c r="EN77" s="91"/>
      <c r="EO77" s="91"/>
      <c r="EP77" s="91"/>
      <c r="EQ77" s="91"/>
      <c r="ER77" s="91"/>
      <c r="ES77" s="91"/>
      <c r="ET77" s="91"/>
      <c r="EU77" s="91"/>
      <c r="EV77" s="91"/>
      <c r="EW77" s="91"/>
      <c r="EX77" s="91"/>
      <c r="EY77" s="91"/>
      <c r="EZ77" s="91"/>
      <c r="FA77" s="91"/>
      <c r="FB77" s="91"/>
      <c r="FC77" s="91"/>
      <c r="FD77" s="91"/>
      <c r="FE77" s="91"/>
      <c r="FF77" s="91"/>
      <c r="FG77" s="91"/>
      <c r="FH77" s="91"/>
      <c r="FI77" s="91"/>
      <c r="FJ77" s="91"/>
      <c r="FK77" s="91"/>
      <c r="FL77" s="91"/>
      <c r="FM77" s="91"/>
      <c r="FN77" s="91"/>
      <c r="FO77" s="91"/>
      <c r="FP77" s="91"/>
      <c r="FQ77" s="91"/>
      <c r="FR77" s="91"/>
      <c r="FS77" s="91"/>
      <c r="FT77" s="91"/>
      <c r="FU77" s="91"/>
      <c r="FV77" s="91"/>
      <c r="FW77" s="91"/>
      <c r="FX77" s="91"/>
      <c r="FY77" s="91"/>
      <c r="FZ77" s="91"/>
      <c r="GA77" s="91"/>
      <c r="GB77" s="91"/>
      <c r="GC77" s="91"/>
      <c r="GD77" s="91"/>
      <c r="GE77" s="91"/>
      <c r="GF77" s="91"/>
      <c r="GG77" s="91"/>
      <c r="GH77" s="91"/>
      <c r="GI77" s="91"/>
      <c r="GJ77" s="91"/>
      <c r="GK77" s="91"/>
      <c r="GL77" s="91"/>
      <c r="GM77" s="91"/>
      <c r="GN77" s="91"/>
      <c r="GO77" s="91"/>
      <c r="GP77" s="91"/>
      <c r="GQ77" s="91"/>
      <c r="GR77" s="91"/>
      <c r="GS77" s="91"/>
      <c r="GT77" s="91"/>
      <c r="GU77" s="91"/>
      <c r="GV77" s="91"/>
      <c r="GW77" s="91"/>
      <c r="GX77" s="91"/>
      <c r="GY77" s="91"/>
      <c r="GZ77" s="91"/>
      <c r="HA77" s="91"/>
      <c r="HB77" s="91"/>
      <c r="HC77" s="91"/>
      <c r="HD77" s="91"/>
      <c r="HE77" s="91"/>
      <c r="HF77" s="91"/>
      <c r="HG77" s="91"/>
      <c r="HH77" s="91"/>
      <c r="HI77" s="91"/>
      <c r="HJ77" s="91"/>
      <c r="HK77" s="91"/>
      <c r="HL77" s="91"/>
      <c r="HM77" s="91"/>
      <c r="HN77" s="91"/>
      <c r="HO77" s="91"/>
      <c r="HP77" s="91"/>
      <c r="HQ77" s="91"/>
      <c r="HR77" s="91"/>
      <c r="HS77" s="91"/>
      <c r="HT77" s="91"/>
      <c r="HU77" s="91"/>
      <c r="HV77" s="91"/>
      <c r="HW77" s="91"/>
      <c r="HX77" s="91"/>
      <c r="HY77" s="91"/>
      <c r="HZ77" s="91"/>
      <c r="IA77" s="91"/>
      <c r="IB77" s="91"/>
      <c r="IC77" s="91"/>
      <c r="ID77" s="91"/>
      <c r="IE77" s="91"/>
      <c r="IF77" s="91"/>
      <c r="IG77" s="91"/>
      <c r="IH77" s="91"/>
    </row>
    <row r="78" ht="27.0" customHeight="1">
      <c r="A78" s="4"/>
      <c r="B78" s="4"/>
      <c r="C78" s="94" t="s">
        <v>98</v>
      </c>
      <c r="D78" s="95" t="s">
        <v>99</v>
      </c>
      <c r="E78" s="94" t="s">
        <v>91</v>
      </c>
      <c r="F78" s="106">
        <v>46161.0</v>
      </c>
      <c r="G78" s="106">
        <v>46165.0</v>
      </c>
      <c r="H78" s="97">
        <f t="shared" si="3"/>
        <v>4</v>
      </c>
      <c r="I78" s="98" t="s">
        <v>34</v>
      </c>
      <c r="J78" s="99">
        <f t="array" ref="J78">IFS(I78="Completo",100%,I78="Não iniciado",0%,I78="Em Progresso",50%)</f>
        <v>1</v>
      </c>
      <c r="K78" s="94" t="s">
        <v>96</v>
      </c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DY78" s="91"/>
      <c r="DZ78" s="91"/>
      <c r="EA78" s="91"/>
      <c r="EB78" s="91"/>
      <c r="EC78" s="91"/>
      <c r="ED78" s="91"/>
      <c r="EE78" s="91"/>
      <c r="EF78" s="91"/>
      <c r="EG78" s="91"/>
      <c r="EH78" s="91"/>
      <c r="EI78" s="91"/>
      <c r="EJ78" s="91"/>
      <c r="EK78" s="91"/>
      <c r="EL78" s="91"/>
      <c r="EM78" s="91"/>
      <c r="EN78" s="91"/>
      <c r="EO78" s="91"/>
      <c r="EP78" s="91"/>
      <c r="EQ78" s="91"/>
      <c r="ER78" s="91"/>
      <c r="ES78" s="91"/>
      <c r="ET78" s="91"/>
      <c r="EU78" s="91"/>
      <c r="EV78" s="91"/>
      <c r="EW78" s="91"/>
      <c r="EX78" s="91"/>
      <c r="EY78" s="91"/>
      <c r="EZ78" s="91"/>
      <c r="FA78" s="91"/>
      <c r="FB78" s="91"/>
      <c r="FC78" s="91"/>
      <c r="FD78" s="91"/>
      <c r="FE78" s="91"/>
      <c r="FF78" s="91"/>
      <c r="FG78" s="91"/>
      <c r="FH78" s="91"/>
      <c r="FI78" s="91"/>
      <c r="FJ78" s="91"/>
      <c r="FK78" s="91"/>
      <c r="FL78" s="91"/>
      <c r="FM78" s="91"/>
      <c r="FN78" s="91"/>
      <c r="FO78" s="91"/>
      <c r="FP78" s="91"/>
      <c r="FQ78" s="91"/>
      <c r="FR78" s="91"/>
      <c r="FS78" s="91"/>
      <c r="FT78" s="91"/>
      <c r="FU78" s="91"/>
      <c r="FV78" s="91"/>
      <c r="FW78" s="91"/>
      <c r="FX78" s="91"/>
      <c r="FY78" s="91"/>
      <c r="FZ78" s="91"/>
      <c r="GA78" s="91"/>
      <c r="GB78" s="91"/>
      <c r="GC78" s="91"/>
      <c r="GD78" s="91"/>
      <c r="GE78" s="91"/>
      <c r="GF78" s="91"/>
      <c r="GG78" s="91"/>
      <c r="GH78" s="91"/>
      <c r="GI78" s="91"/>
      <c r="GJ78" s="91"/>
      <c r="GK78" s="91"/>
      <c r="GL78" s="91"/>
      <c r="GM78" s="91"/>
      <c r="GN78" s="91"/>
      <c r="GO78" s="91"/>
      <c r="GP78" s="91"/>
      <c r="GQ78" s="91"/>
      <c r="GR78" s="91"/>
      <c r="GS78" s="91"/>
      <c r="GT78" s="91"/>
      <c r="GU78" s="91"/>
      <c r="GV78" s="91"/>
      <c r="GW78" s="91"/>
      <c r="GX78" s="91"/>
      <c r="GY78" s="91"/>
      <c r="GZ78" s="91"/>
      <c r="HA78" s="91"/>
      <c r="HB78" s="91"/>
      <c r="HC78" s="91"/>
      <c r="HD78" s="91"/>
      <c r="HE78" s="91"/>
      <c r="HF78" s="91"/>
      <c r="HG78" s="91"/>
      <c r="HH78" s="91"/>
      <c r="HI78" s="91"/>
      <c r="HJ78" s="91"/>
      <c r="HK78" s="91"/>
      <c r="HL78" s="91"/>
      <c r="HM78" s="91"/>
      <c r="HN78" s="91"/>
      <c r="HO78" s="91"/>
      <c r="HP78" s="91"/>
      <c r="HQ78" s="91"/>
      <c r="HR78" s="91"/>
      <c r="HS78" s="91"/>
      <c r="HT78" s="91"/>
      <c r="HU78" s="91"/>
      <c r="HV78" s="91"/>
      <c r="HW78" s="91"/>
      <c r="HX78" s="91"/>
      <c r="HY78" s="91"/>
      <c r="HZ78" s="91"/>
      <c r="IA78" s="91"/>
      <c r="IB78" s="91"/>
      <c r="IC78" s="91"/>
      <c r="ID78" s="91"/>
      <c r="IE78" s="91"/>
      <c r="IF78" s="91"/>
      <c r="IG78" s="91"/>
      <c r="IH78" s="91"/>
    </row>
    <row r="79" ht="15.75" customHeight="1">
      <c r="A79" s="4"/>
      <c r="B79" s="4"/>
      <c r="C79" s="20" t="s">
        <v>209</v>
      </c>
      <c r="D79" s="7" t="s">
        <v>210</v>
      </c>
      <c r="E79" s="20" t="s">
        <v>84</v>
      </c>
      <c r="F79" s="87">
        <v>46170.0</v>
      </c>
      <c r="G79" s="87">
        <v>46176.0</v>
      </c>
      <c r="H79" s="20">
        <f>NETWORKDAYS(F79,G79)</f>
        <v>5</v>
      </c>
      <c r="I79" s="88" t="s">
        <v>34</v>
      </c>
      <c r="J79" s="89">
        <f t="array" ref="J79">IFS(I79="Completo",100%,I79="Não iniciado",0%,I79="Em Progresso",50%)</f>
        <v>1</v>
      </c>
      <c r="K79" s="88" t="s">
        <v>211</v>
      </c>
      <c r="L79" s="4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DY79" s="91"/>
      <c r="DZ79" s="91"/>
      <c r="EA79" s="91"/>
      <c r="EB79" s="91"/>
      <c r="EC79" s="91"/>
      <c r="ED79" s="91"/>
      <c r="EE79" s="91"/>
      <c r="EF79" s="91"/>
      <c r="EG79" s="91"/>
      <c r="EH79" s="91"/>
      <c r="EI79" s="91"/>
      <c r="EJ79" s="91"/>
      <c r="EK79" s="91"/>
      <c r="EL79" s="91"/>
      <c r="EM79" s="91"/>
      <c r="EN79" s="91"/>
      <c r="EO79" s="91"/>
      <c r="EP79" s="91"/>
      <c r="EQ79" s="91"/>
      <c r="ER79" s="91"/>
      <c r="ES79" s="91"/>
      <c r="ET79" s="91"/>
      <c r="EU79" s="91"/>
      <c r="EV79" s="91"/>
      <c r="EW79" s="91"/>
      <c r="EX79" s="91"/>
      <c r="EY79" s="91"/>
      <c r="EZ79" s="91"/>
      <c r="FA79" s="91"/>
      <c r="FB79" s="91"/>
      <c r="FC79" s="91"/>
      <c r="FD79" s="91"/>
      <c r="FE79" s="91"/>
      <c r="FF79" s="91"/>
      <c r="FG79" s="91"/>
      <c r="FH79" s="91"/>
      <c r="FI79" s="91"/>
      <c r="FJ79" s="91"/>
      <c r="FK79" s="91"/>
      <c r="FL79" s="91"/>
      <c r="FM79" s="91"/>
      <c r="FN79" s="91"/>
      <c r="FO79" s="91"/>
      <c r="FP79" s="91"/>
      <c r="FQ79" s="91"/>
      <c r="FR79" s="91"/>
      <c r="FS79" s="91"/>
      <c r="FT79" s="91"/>
      <c r="FU79" s="91"/>
      <c r="FV79" s="91"/>
      <c r="FW79" s="91"/>
      <c r="FX79" s="91"/>
      <c r="FY79" s="91"/>
      <c r="FZ79" s="91"/>
      <c r="GA79" s="91"/>
      <c r="GB79" s="91"/>
      <c r="GC79" s="91"/>
      <c r="GD79" s="91"/>
      <c r="GE79" s="91"/>
      <c r="GF79" s="91"/>
      <c r="GG79" s="91"/>
      <c r="GH79" s="91"/>
      <c r="GI79" s="91"/>
      <c r="GJ79" s="91"/>
      <c r="GK79" s="91"/>
      <c r="GL79" s="91"/>
      <c r="GM79" s="91"/>
      <c r="GN79" s="91"/>
      <c r="GO79" s="91"/>
      <c r="GP79" s="91"/>
      <c r="GQ79" s="91"/>
      <c r="GR79" s="91"/>
      <c r="GS79" s="91"/>
      <c r="GT79" s="91"/>
      <c r="GU79" s="91"/>
      <c r="GV79" s="91"/>
      <c r="GW79" s="91"/>
      <c r="GX79" s="91"/>
      <c r="GY79" s="91"/>
      <c r="GZ79" s="91"/>
      <c r="HA79" s="91"/>
      <c r="HB79" s="91"/>
      <c r="HC79" s="91"/>
      <c r="HD79" s="91"/>
      <c r="HE79" s="91"/>
      <c r="HF79" s="91"/>
      <c r="HG79" s="91"/>
      <c r="HH79" s="91"/>
      <c r="HI79" s="91"/>
      <c r="HJ79" s="91"/>
      <c r="HK79" s="91"/>
      <c r="HL79" s="91"/>
      <c r="HM79" s="91"/>
      <c r="HN79" s="91"/>
      <c r="HO79" s="91"/>
      <c r="HP79" s="91"/>
      <c r="HQ79" s="91"/>
      <c r="HR79" s="91"/>
      <c r="HS79" s="91"/>
      <c r="HT79" s="91"/>
      <c r="HU79" s="91"/>
      <c r="HV79" s="91"/>
      <c r="HW79" s="91"/>
      <c r="HX79" s="91"/>
      <c r="HY79" s="91"/>
      <c r="HZ79" s="91"/>
      <c r="IA79" s="91"/>
      <c r="IB79" s="91"/>
      <c r="IC79" s="91"/>
      <c r="ID79" s="91"/>
      <c r="IE79" s="91"/>
      <c r="IF79" s="91"/>
      <c r="IG79" s="91"/>
      <c r="IH79" s="91"/>
    </row>
    <row r="80" ht="15.75" customHeight="1">
      <c r="A80" s="4"/>
      <c r="B80" s="4"/>
      <c r="C80" s="20" t="s">
        <v>212</v>
      </c>
      <c r="D80" s="7" t="s">
        <v>213</v>
      </c>
      <c r="E80" s="20" t="s">
        <v>46</v>
      </c>
      <c r="F80" s="87">
        <v>46170.0</v>
      </c>
      <c r="G80" s="87">
        <v>46176.0</v>
      </c>
      <c r="H80" s="20">
        <f>G80-F80</f>
        <v>6</v>
      </c>
      <c r="I80" s="88" t="s">
        <v>34</v>
      </c>
      <c r="J80" s="89">
        <f t="array" ref="J80">IFS(I80="Completo",100%,I80="Não iniciado",0%,I80="Em Progresso",50%)</f>
        <v>1</v>
      </c>
      <c r="K80" s="90" t="s">
        <v>214</v>
      </c>
      <c r="L80" s="4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DY80" s="91"/>
      <c r="DZ80" s="91"/>
      <c r="EA80" s="91"/>
      <c r="EB80" s="91"/>
      <c r="EC80" s="91"/>
      <c r="ED80" s="91"/>
      <c r="EE80" s="91"/>
      <c r="EF80" s="91"/>
      <c r="EG80" s="91"/>
      <c r="EH80" s="91"/>
      <c r="EI80" s="91"/>
      <c r="EJ80" s="91"/>
      <c r="EK80" s="91"/>
      <c r="EL80" s="91"/>
      <c r="EM80" s="91"/>
      <c r="EN80" s="91"/>
      <c r="EO80" s="91"/>
      <c r="EP80" s="91"/>
      <c r="EQ80" s="91"/>
      <c r="ER80" s="91"/>
      <c r="ES80" s="91"/>
      <c r="ET80" s="91"/>
      <c r="EU80" s="91"/>
      <c r="EV80" s="91"/>
      <c r="EW80" s="91"/>
      <c r="EX80" s="91"/>
      <c r="EY80" s="91"/>
      <c r="EZ80" s="91"/>
      <c r="FA80" s="91"/>
      <c r="FB80" s="91"/>
      <c r="FC80" s="91"/>
      <c r="FD80" s="91"/>
      <c r="FE80" s="91"/>
      <c r="FF80" s="91"/>
      <c r="FG80" s="91"/>
      <c r="FH80" s="91"/>
      <c r="FI80" s="91"/>
      <c r="FJ80" s="91"/>
      <c r="FK80" s="91"/>
      <c r="FL80" s="91"/>
      <c r="FM80" s="91"/>
      <c r="FN80" s="91"/>
      <c r="FO80" s="91"/>
      <c r="FP80" s="91"/>
      <c r="FQ80" s="91"/>
      <c r="FR80" s="91"/>
      <c r="FS80" s="91"/>
      <c r="FT80" s="91"/>
      <c r="FU80" s="91"/>
      <c r="FV80" s="91"/>
      <c r="FW80" s="91"/>
      <c r="FX80" s="91"/>
      <c r="FY80" s="91"/>
      <c r="FZ80" s="91"/>
      <c r="GA80" s="91"/>
      <c r="GB80" s="91"/>
      <c r="GC80" s="91"/>
      <c r="GD80" s="91"/>
      <c r="GE80" s="91"/>
      <c r="GF80" s="91"/>
      <c r="GG80" s="91"/>
      <c r="GH80" s="91"/>
      <c r="GI80" s="91"/>
      <c r="GJ80" s="91"/>
      <c r="GK80" s="91"/>
      <c r="GL80" s="91"/>
      <c r="GM80" s="91"/>
      <c r="GN80" s="91"/>
      <c r="GO80" s="91"/>
      <c r="GP80" s="91"/>
      <c r="GQ80" s="91"/>
      <c r="GR80" s="91"/>
      <c r="GS80" s="91"/>
      <c r="GT80" s="91"/>
      <c r="GU80" s="91"/>
      <c r="GV80" s="91"/>
      <c r="GW80" s="91"/>
      <c r="GX80" s="91"/>
      <c r="GY80" s="91"/>
      <c r="GZ80" s="91"/>
      <c r="HA80" s="91"/>
      <c r="HB80" s="91"/>
      <c r="HC80" s="91"/>
      <c r="HD80" s="91"/>
      <c r="HE80" s="91"/>
      <c r="HF80" s="91"/>
      <c r="HG80" s="91"/>
      <c r="HH80" s="91"/>
      <c r="HI80" s="91"/>
      <c r="HJ80" s="91"/>
      <c r="HK80" s="91"/>
      <c r="HL80" s="91"/>
      <c r="HM80" s="91"/>
      <c r="HN80" s="91"/>
      <c r="HO80" s="91"/>
      <c r="HP80" s="91"/>
      <c r="HQ80" s="91"/>
      <c r="HR80" s="91"/>
      <c r="HS80" s="91"/>
      <c r="HT80" s="91"/>
      <c r="HU80" s="91"/>
      <c r="HV80" s="91"/>
      <c r="HW80" s="91"/>
      <c r="HX80" s="91"/>
      <c r="HY80" s="91"/>
      <c r="HZ80" s="91"/>
      <c r="IA80" s="91"/>
      <c r="IB80" s="91"/>
      <c r="IC80" s="91"/>
      <c r="ID80" s="91"/>
      <c r="IE80" s="91"/>
      <c r="IF80" s="91"/>
      <c r="IG80" s="91"/>
      <c r="IH80" s="91"/>
    </row>
    <row r="81" ht="15.75" customHeight="1">
      <c r="A81" s="4"/>
      <c r="B81" s="4"/>
      <c r="C81" s="20" t="s">
        <v>215</v>
      </c>
      <c r="D81" s="7" t="s">
        <v>216</v>
      </c>
      <c r="E81" s="20" t="s">
        <v>84</v>
      </c>
      <c r="F81" s="87">
        <v>46174.0</v>
      </c>
      <c r="G81" s="87">
        <v>46177.0</v>
      </c>
      <c r="H81" s="20">
        <f>NETWORKDAYS(F81,G81)</f>
        <v>4</v>
      </c>
      <c r="I81" s="88" t="s">
        <v>34</v>
      </c>
      <c r="J81" s="89">
        <f t="array" ref="J81">IFS(I81="Completo",100%,I81="Não iniciado",0%,I81="Em Progresso",50%)</f>
        <v>1</v>
      </c>
      <c r="K81" s="88" t="s">
        <v>217</v>
      </c>
      <c r="L81" s="4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DY81" s="91"/>
      <c r="DZ81" s="91"/>
      <c r="EA81" s="91"/>
      <c r="EB81" s="91"/>
      <c r="EC81" s="91"/>
      <c r="ED81" s="91"/>
      <c r="EE81" s="91"/>
      <c r="EF81" s="91"/>
      <c r="EG81" s="91"/>
      <c r="EH81" s="91"/>
      <c r="EI81" s="91"/>
      <c r="EJ81" s="91"/>
      <c r="EK81" s="91"/>
      <c r="EL81" s="91"/>
      <c r="EM81" s="91"/>
      <c r="EN81" s="91"/>
      <c r="EO81" s="91"/>
      <c r="EP81" s="91"/>
      <c r="EQ81" s="91"/>
      <c r="ER81" s="91"/>
      <c r="ES81" s="91"/>
      <c r="ET81" s="91"/>
      <c r="EU81" s="91"/>
      <c r="EV81" s="91"/>
      <c r="EW81" s="91"/>
      <c r="EX81" s="91"/>
      <c r="EY81" s="91"/>
      <c r="EZ81" s="91"/>
      <c r="FA81" s="91"/>
      <c r="FB81" s="91"/>
      <c r="FC81" s="91"/>
      <c r="FD81" s="91"/>
      <c r="FE81" s="91"/>
      <c r="FF81" s="91"/>
      <c r="FG81" s="91"/>
      <c r="FH81" s="91"/>
      <c r="FI81" s="91"/>
      <c r="FJ81" s="91"/>
      <c r="FK81" s="91"/>
      <c r="FL81" s="91"/>
      <c r="FM81" s="91"/>
      <c r="FN81" s="91"/>
      <c r="FO81" s="91"/>
      <c r="FP81" s="91"/>
      <c r="FQ81" s="91"/>
      <c r="FR81" s="91"/>
      <c r="FS81" s="91"/>
      <c r="FT81" s="91"/>
      <c r="FU81" s="91"/>
      <c r="FV81" s="91"/>
      <c r="FW81" s="91"/>
      <c r="FX81" s="91"/>
      <c r="FY81" s="91"/>
      <c r="FZ81" s="91"/>
      <c r="GA81" s="91"/>
      <c r="GB81" s="91"/>
      <c r="GC81" s="91"/>
      <c r="GD81" s="91"/>
      <c r="GE81" s="91"/>
      <c r="GF81" s="91"/>
      <c r="GG81" s="91"/>
      <c r="GH81" s="91"/>
      <c r="GI81" s="91"/>
      <c r="GJ81" s="91"/>
      <c r="GK81" s="91"/>
      <c r="GL81" s="91"/>
      <c r="GM81" s="91"/>
      <c r="GN81" s="91"/>
      <c r="GO81" s="91"/>
      <c r="GP81" s="91"/>
      <c r="GQ81" s="91"/>
      <c r="GR81" s="91"/>
      <c r="GS81" s="91"/>
      <c r="GT81" s="91"/>
      <c r="GU81" s="91"/>
      <c r="GV81" s="91"/>
      <c r="GW81" s="91"/>
      <c r="GX81" s="91"/>
      <c r="GY81" s="91"/>
      <c r="GZ81" s="91"/>
      <c r="HA81" s="91"/>
      <c r="HB81" s="91"/>
      <c r="HC81" s="91"/>
      <c r="HD81" s="91"/>
      <c r="HE81" s="91"/>
      <c r="HF81" s="91"/>
      <c r="HG81" s="91"/>
      <c r="HH81" s="91"/>
      <c r="HI81" s="91"/>
      <c r="HJ81" s="91"/>
      <c r="HK81" s="91"/>
      <c r="HL81" s="91"/>
      <c r="HM81" s="91"/>
      <c r="HN81" s="91"/>
      <c r="HO81" s="91"/>
      <c r="HP81" s="91"/>
      <c r="HQ81" s="91"/>
      <c r="HR81" s="91"/>
      <c r="HS81" s="91"/>
      <c r="HT81" s="91"/>
      <c r="HU81" s="91"/>
      <c r="HV81" s="91"/>
      <c r="HW81" s="91"/>
      <c r="HX81" s="91"/>
      <c r="HY81" s="91"/>
      <c r="HZ81" s="91"/>
      <c r="IA81" s="91"/>
      <c r="IB81" s="91"/>
      <c r="IC81" s="91"/>
      <c r="ID81" s="91"/>
      <c r="IE81" s="91"/>
      <c r="IF81" s="91"/>
      <c r="IG81" s="91"/>
      <c r="IH81" s="91"/>
    </row>
    <row r="82" ht="15.75" customHeight="1">
      <c r="A82" s="4"/>
      <c r="B82" s="4"/>
      <c r="C82" s="5" t="s">
        <v>218</v>
      </c>
      <c r="D82" s="7" t="s">
        <v>219</v>
      </c>
      <c r="E82" s="5" t="s">
        <v>59</v>
      </c>
      <c r="F82" s="93">
        <v>46175.0</v>
      </c>
      <c r="G82" s="93">
        <v>46176.0</v>
      </c>
      <c r="H82" s="20">
        <f>G82-F82</f>
        <v>1</v>
      </c>
      <c r="I82" s="88" t="s">
        <v>34</v>
      </c>
      <c r="J82" s="89">
        <f t="array" ref="J82">IFS(I82="Completo",100%,I82="Não iniciado",0%,I82="Em Progresso",50%)</f>
        <v>1</v>
      </c>
      <c r="K82" s="88" t="s">
        <v>220</v>
      </c>
      <c r="L82" s="4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DY82" s="91"/>
      <c r="DZ82" s="91"/>
      <c r="EA82" s="91"/>
      <c r="EB82" s="91"/>
      <c r="EC82" s="91"/>
      <c r="ED82" s="91"/>
      <c r="EE82" s="91"/>
      <c r="EF82" s="91"/>
      <c r="EG82" s="91"/>
      <c r="EH82" s="91"/>
      <c r="EI82" s="91"/>
      <c r="EJ82" s="91"/>
      <c r="EK82" s="91"/>
      <c r="EL82" s="91"/>
      <c r="EM82" s="91"/>
      <c r="EN82" s="91"/>
      <c r="EO82" s="91"/>
      <c r="EP82" s="91"/>
      <c r="EQ82" s="91"/>
      <c r="ER82" s="91"/>
      <c r="ES82" s="91"/>
      <c r="ET82" s="91"/>
      <c r="EU82" s="91"/>
      <c r="EV82" s="91"/>
      <c r="EW82" s="91"/>
      <c r="EX82" s="91"/>
      <c r="EY82" s="91"/>
      <c r="EZ82" s="91"/>
      <c r="FA82" s="91"/>
      <c r="FB82" s="91"/>
      <c r="FC82" s="91"/>
      <c r="FD82" s="91"/>
      <c r="FE82" s="91"/>
      <c r="FF82" s="91"/>
      <c r="FG82" s="91"/>
      <c r="FH82" s="91"/>
      <c r="FI82" s="91"/>
      <c r="FJ82" s="91"/>
      <c r="FK82" s="91"/>
      <c r="FL82" s="91"/>
      <c r="FM82" s="91"/>
      <c r="FN82" s="91"/>
      <c r="FO82" s="91"/>
      <c r="FP82" s="91"/>
      <c r="FQ82" s="91"/>
      <c r="FR82" s="91"/>
      <c r="FS82" s="91"/>
      <c r="FT82" s="91"/>
      <c r="FU82" s="91"/>
      <c r="FV82" s="91"/>
      <c r="FW82" s="91"/>
      <c r="FX82" s="91"/>
      <c r="FY82" s="91"/>
      <c r="FZ82" s="91"/>
      <c r="GA82" s="91"/>
      <c r="GB82" s="91"/>
      <c r="GC82" s="91"/>
      <c r="GD82" s="91"/>
      <c r="GE82" s="91"/>
      <c r="GF82" s="91"/>
      <c r="GG82" s="91"/>
      <c r="GH82" s="91"/>
      <c r="GI82" s="91"/>
      <c r="GJ82" s="91"/>
      <c r="GK82" s="91"/>
      <c r="GL82" s="91"/>
      <c r="GM82" s="91"/>
      <c r="GN82" s="91"/>
      <c r="GO82" s="91"/>
      <c r="GP82" s="91"/>
      <c r="GQ82" s="91"/>
      <c r="GR82" s="91"/>
      <c r="GS82" s="91"/>
      <c r="GT82" s="91"/>
      <c r="GU82" s="91"/>
      <c r="GV82" s="91"/>
      <c r="GW82" s="91"/>
      <c r="GX82" s="91"/>
      <c r="GY82" s="91"/>
      <c r="GZ82" s="91"/>
      <c r="HA82" s="91"/>
      <c r="HB82" s="91"/>
      <c r="HC82" s="91"/>
      <c r="HD82" s="91"/>
      <c r="HE82" s="91"/>
      <c r="HF82" s="91"/>
      <c r="HG82" s="91"/>
      <c r="HH82" s="91"/>
      <c r="HI82" s="91"/>
      <c r="HJ82" s="91"/>
      <c r="HK82" s="91"/>
      <c r="HL82" s="91"/>
      <c r="HM82" s="91"/>
      <c r="HN82" s="91"/>
      <c r="HO82" s="91"/>
      <c r="HP82" s="91"/>
      <c r="HQ82" s="91"/>
      <c r="HR82" s="91"/>
      <c r="HS82" s="91"/>
      <c r="HT82" s="91"/>
      <c r="HU82" s="91"/>
      <c r="HV82" s="91"/>
      <c r="HW82" s="91"/>
      <c r="HX82" s="91"/>
      <c r="HY82" s="91"/>
      <c r="HZ82" s="91"/>
      <c r="IA82" s="91"/>
      <c r="IB82" s="91"/>
      <c r="IC82" s="91"/>
      <c r="ID82" s="91"/>
      <c r="IE82" s="91"/>
      <c r="IF82" s="91"/>
      <c r="IG82" s="91"/>
      <c r="IH82" s="91"/>
    </row>
    <row r="83" ht="15.75" customHeight="1">
      <c r="A83" s="4"/>
      <c r="B83" s="4"/>
      <c r="C83" s="20" t="s">
        <v>221</v>
      </c>
      <c r="D83" s="7" t="s">
        <v>222</v>
      </c>
      <c r="E83" s="20" t="s">
        <v>84</v>
      </c>
      <c r="F83" s="87">
        <v>46175.0</v>
      </c>
      <c r="G83" s="87">
        <v>46177.0</v>
      </c>
      <c r="H83" s="20">
        <f t="shared" ref="H83:H85" si="4">NETWORKDAYS(F83,G83)</f>
        <v>3</v>
      </c>
      <c r="I83" s="88" t="s">
        <v>34</v>
      </c>
      <c r="J83" s="89">
        <f t="array" ref="J83">IFS(I83="Completo",100%,I83="Não iniciado",0%,I83="Em Progresso",50%)</f>
        <v>1</v>
      </c>
      <c r="K83" s="88" t="s">
        <v>223</v>
      </c>
      <c r="L83" s="4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DY83" s="91"/>
      <c r="DZ83" s="91"/>
      <c r="EA83" s="91"/>
      <c r="EB83" s="91"/>
      <c r="EC83" s="91"/>
      <c r="ED83" s="91"/>
      <c r="EE83" s="91"/>
      <c r="EF83" s="91"/>
      <c r="EG83" s="91"/>
      <c r="EH83" s="91"/>
      <c r="EI83" s="91"/>
      <c r="EJ83" s="91"/>
      <c r="EK83" s="91"/>
      <c r="EL83" s="91"/>
      <c r="EM83" s="91"/>
      <c r="EN83" s="91"/>
      <c r="EO83" s="91"/>
      <c r="EP83" s="91"/>
      <c r="EQ83" s="91"/>
      <c r="ER83" s="91"/>
      <c r="ES83" s="91"/>
      <c r="ET83" s="91"/>
      <c r="EU83" s="91"/>
      <c r="EV83" s="91"/>
      <c r="EW83" s="91"/>
      <c r="EX83" s="91"/>
      <c r="EY83" s="91"/>
      <c r="EZ83" s="91"/>
      <c r="FA83" s="91"/>
      <c r="FB83" s="91"/>
      <c r="FC83" s="91"/>
      <c r="FD83" s="91"/>
      <c r="FE83" s="91"/>
      <c r="FF83" s="91"/>
      <c r="FG83" s="91"/>
      <c r="FH83" s="91"/>
      <c r="FI83" s="91"/>
      <c r="FJ83" s="91"/>
      <c r="FK83" s="91"/>
      <c r="FL83" s="91"/>
      <c r="FM83" s="91"/>
      <c r="FN83" s="91"/>
      <c r="FO83" s="91"/>
      <c r="FP83" s="91"/>
      <c r="FQ83" s="91"/>
      <c r="FR83" s="91"/>
      <c r="FS83" s="91"/>
      <c r="FT83" s="91"/>
      <c r="FU83" s="91"/>
      <c r="FV83" s="91"/>
      <c r="FW83" s="91"/>
      <c r="FX83" s="91"/>
      <c r="FY83" s="91"/>
      <c r="FZ83" s="91"/>
      <c r="GA83" s="91"/>
      <c r="GB83" s="91"/>
      <c r="GC83" s="91"/>
      <c r="GD83" s="91"/>
      <c r="GE83" s="91"/>
      <c r="GF83" s="91"/>
      <c r="GG83" s="91"/>
      <c r="GH83" s="91"/>
      <c r="GI83" s="91"/>
      <c r="GJ83" s="91"/>
      <c r="GK83" s="91"/>
      <c r="GL83" s="91"/>
      <c r="GM83" s="91"/>
      <c r="GN83" s="91"/>
      <c r="GO83" s="91"/>
      <c r="GP83" s="91"/>
      <c r="GQ83" s="91"/>
      <c r="GR83" s="91"/>
      <c r="GS83" s="91"/>
      <c r="GT83" s="91"/>
      <c r="GU83" s="91"/>
      <c r="GV83" s="91"/>
      <c r="GW83" s="91"/>
      <c r="GX83" s="91"/>
      <c r="GY83" s="91"/>
      <c r="GZ83" s="91"/>
      <c r="HA83" s="91"/>
      <c r="HB83" s="91"/>
      <c r="HC83" s="91"/>
      <c r="HD83" s="91"/>
      <c r="HE83" s="91"/>
      <c r="HF83" s="91"/>
      <c r="HG83" s="91"/>
      <c r="HH83" s="91"/>
      <c r="HI83" s="91"/>
      <c r="HJ83" s="91"/>
      <c r="HK83" s="91"/>
      <c r="HL83" s="91"/>
      <c r="HM83" s="91"/>
      <c r="HN83" s="91"/>
      <c r="HO83" s="91"/>
      <c r="HP83" s="91"/>
      <c r="HQ83" s="91"/>
      <c r="HR83" s="91"/>
      <c r="HS83" s="91"/>
      <c r="HT83" s="91"/>
      <c r="HU83" s="91"/>
      <c r="HV83" s="91"/>
      <c r="HW83" s="91"/>
      <c r="HX83" s="91"/>
      <c r="HY83" s="91"/>
      <c r="HZ83" s="91"/>
      <c r="IA83" s="91"/>
      <c r="IB83" s="91"/>
      <c r="IC83" s="91"/>
      <c r="ID83" s="91"/>
      <c r="IE83" s="91"/>
      <c r="IF83" s="91"/>
      <c r="IG83" s="91"/>
      <c r="IH83" s="91"/>
    </row>
    <row r="84" ht="15.75" customHeight="1">
      <c r="A84" s="4"/>
      <c r="B84" s="4"/>
      <c r="C84" s="20" t="s">
        <v>224</v>
      </c>
      <c r="D84" s="7" t="s">
        <v>225</v>
      </c>
      <c r="E84" s="20" t="s">
        <v>84</v>
      </c>
      <c r="F84" s="87">
        <v>46175.0</v>
      </c>
      <c r="G84" s="87">
        <v>46178.0</v>
      </c>
      <c r="H84" s="20">
        <f t="shared" si="4"/>
        <v>4</v>
      </c>
      <c r="I84" s="88" t="s">
        <v>34</v>
      </c>
      <c r="J84" s="89">
        <f t="array" ref="J84">IFS(I84="Completo",100%,I84="Não iniciado",0%,I84="Em Progresso",50%)</f>
        <v>1</v>
      </c>
      <c r="K84" s="88" t="s">
        <v>226</v>
      </c>
      <c r="L84" s="4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DY84" s="91"/>
      <c r="DZ84" s="91"/>
      <c r="EA84" s="91"/>
      <c r="EB84" s="91"/>
      <c r="EC84" s="91"/>
      <c r="ED84" s="91"/>
      <c r="EE84" s="91"/>
      <c r="EF84" s="91"/>
      <c r="EG84" s="91"/>
      <c r="EH84" s="91"/>
      <c r="EI84" s="91"/>
      <c r="EJ84" s="91"/>
      <c r="EK84" s="91"/>
      <c r="EL84" s="91"/>
      <c r="EM84" s="91"/>
      <c r="EN84" s="91"/>
      <c r="EO84" s="91"/>
      <c r="EP84" s="91"/>
      <c r="EQ84" s="91"/>
      <c r="ER84" s="91"/>
      <c r="ES84" s="91"/>
      <c r="ET84" s="91"/>
      <c r="EU84" s="91"/>
      <c r="EV84" s="91"/>
      <c r="EW84" s="91"/>
      <c r="EX84" s="91"/>
      <c r="EY84" s="91"/>
      <c r="EZ84" s="91"/>
      <c r="FA84" s="91"/>
      <c r="FB84" s="91"/>
      <c r="FC84" s="91"/>
      <c r="FD84" s="91"/>
      <c r="FE84" s="91"/>
      <c r="FF84" s="91"/>
      <c r="FG84" s="91"/>
      <c r="FH84" s="91"/>
      <c r="FI84" s="91"/>
      <c r="FJ84" s="91"/>
      <c r="FK84" s="91"/>
      <c r="FL84" s="91"/>
      <c r="FM84" s="91"/>
      <c r="FN84" s="91"/>
      <c r="FO84" s="91"/>
      <c r="FP84" s="91"/>
      <c r="FQ84" s="91"/>
      <c r="FR84" s="91"/>
      <c r="FS84" s="91"/>
      <c r="FT84" s="91"/>
      <c r="FU84" s="91"/>
      <c r="FV84" s="91"/>
      <c r="FW84" s="91"/>
      <c r="FX84" s="91"/>
      <c r="FY84" s="91"/>
      <c r="FZ84" s="91"/>
      <c r="GA84" s="91"/>
      <c r="GB84" s="91"/>
      <c r="GC84" s="91"/>
      <c r="GD84" s="91"/>
      <c r="GE84" s="91"/>
      <c r="GF84" s="91"/>
      <c r="GG84" s="91"/>
      <c r="GH84" s="91"/>
      <c r="GI84" s="91"/>
      <c r="GJ84" s="91"/>
      <c r="GK84" s="91"/>
      <c r="GL84" s="91"/>
      <c r="GM84" s="91"/>
      <c r="GN84" s="91"/>
      <c r="GO84" s="91"/>
      <c r="GP84" s="91"/>
      <c r="GQ84" s="91"/>
      <c r="GR84" s="91"/>
      <c r="GS84" s="91"/>
      <c r="GT84" s="91"/>
      <c r="GU84" s="91"/>
      <c r="GV84" s="91"/>
      <c r="GW84" s="91"/>
      <c r="GX84" s="91"/>
      <c r="GY84" s="91"/>
      <c r="GZ84" s="91"/>
      <c r="HA84" s="91"/>
      <c r="HB84" s="91"/>
      <c r="HC84" s="91"/>
      <c r="HD84" s="91"/>
      <c r="HE84" s="91"/>
      <c r="HF84" s="91"/>
      <c r="HG84" s="91"/>
      <c r="HH84" s="91"/>
      <c r="HI84" s="91"/>
      <c r="HJ84" s="91"/>
      <c r="HK84" s="91"/>
      <c r="HL84" s="91"/>
      <c r="HM84" s="91"/>
      <c r="HN84" s="91"/>
      <c r="HO84" s="91"/>
      <c r="HP84" s="91"/>
      <c r="HQ84" s="91"/>
      <c r="HR84" s="91"/>
      <c r="HS84" s="91"/>
      <c r="HT84" s="91"/>
      <c r="HU84" s="91"/>
      <c r="HV84" s="91"/>
      <c r="HW84" s="91"/>
      <c r="HX84" s="91"/>
      <c r="HY84" s="91"/>
      <c r="HZ84" s="91"/>
      <c r="IA84" s="91"/>
      <c r="IB84" s="91"/>
      <c r="IC84" s="91"/>
      <c r="ID84" s="91"/>
      <c r="IE84" s="91"/>
      <c r="IF84" s="91"/>
      <c r="IG84" s="91"/>
      <c r="IH84" s="91"/>
    </row>
    <row r="85" ht="15.75" customHeight="1">
      <c r="A85" s="4"/>
      <c r="B85" s="4"/>
      <c r="C85" s="20" t="s">
        <v>227</v>
      </c>
      <c r="D85" s="7" t="s">
        <v>228</v>
      </c>
      <c r="E85" s="20" t="s">
        <v>84</v>
      </c>
      <c r="F85" s="87">
        <v>46176.0</v>
      </c>
      <c r="G85" s="87">
        <v>46178.0</v>
      </c>
      <c r="H85" s="20">
        <f t="shared" si="4"/>
        <v>3</v>
      </c>
      <c r="I85" s="88" t="s">
        <v>34</v>
      </c>
      <c r="J85" s="89">
        <f t="array" ref="J85">IFS(I85="Completo",100%,I85="Não iniciado",0%,I85="Em Progresso",50%)</f>
        <v>1</v>
      </c>
      <c r="K85" s="88" t="s">
        <v>229</v>
      </c>
      <c r="L85" s="4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DY85" s="91"/>
      <c r="DZ85" s="91"/>
      <c r="EA85" s="91"/>
      <c r="EB85" s="91"/>
      <c r="EC85" s="91"/>
      <c r="ED85" s="91"/>
      <c r="EE85" s="91"/>
      <c r="EF85" s="91"/>
      <c r="EG85" s="91"/>
      <c r="EH85" s="91"/>
      <c r="EI85" s="91"/>
      <c r="EJ85" s="91"/>
      <c r="EK85" s="91"/>
      <c r="EL85" s="91"/>
      <c r="EM85" s="91"/>
      <c r="EN85" s="91"/>
      <c r="EO85" s="91"/>
      <c r="EP85" s="91"/>
      <c r="EQ85" s="91"/>
      <c r="ER85" s="91"/>
      <c r="ES85" s="91"/>
      <c r="ET85" s="91"/>
      <c r="EU85" s="91"/>
      <c r="EV85" s="91"/>
      <c r="EW85" s="91"/>
      <c r="EX85" s="91"/>
      <c r="EY85" s="91"/>
      <c r="EZ85" s="91"/>
      <c r="FA85" s="91"/>
      <c r="FB85" s="91"/>
      <c r="FC85" s="91"/>
      <c r="FD85" s="91"/>
      <c r="FE85" s="91"/>
      <c r="FF85" s="91"/>
      <c r="FG85" s="91"/>
      <c r="FH85" s="91"/>
      <c r="FI85" s="91"/>
      <c r="FJ85" s="91"/>
      <c r="FK85" s="91"/>
      <c r="FL85" s="91"/>
      <c r="FM85" s="91"/>
      <c r="FN85" s="91"/>
      <c r="FO85" s="91"/>
      <c r="FP85" s="91"/>
      <c r="FQ85" s="91"/>
      <c r="FR85" s="91"/>
      <c r="FS85" s="91"/>
      <c r="FT85" s="91"/>
      <c r="FU85" s="91"/>
      <c r="FV85" s="91"/>
      <c r="FW85" s="91"/>
      <c r="FX85" s="91"/>
      <c r="FY85" s="91"/>
      <c r="FZ85" s="91"/>
      <c r="GA85" s="91"/>
      <c r="GB85" s="91"/>
      <c r="GC85" s="91"/>
      <c r="GD85" s="91"/>
      <c r="GE85" s="91"/>
      <c r="GF85" s="91"/>
      <c r="GG85" s="91"/>
      <c r="GH85" s="91"/>
      <c r="GI85" s="91"/>
      <c r="GJ85" s="91"/>
      <c r="GK85" s="91"/>
      <c r="GL85" s="91"/>
      <c r="GM85" s="91"/>
      <c r="GN85" s="91"/>
      <c r="GO85" s="91"/>
      <c r="GP85" s="91"/>
      <c r="GQ85" s="91"/>
      <c r="GR85" s="91"/>
      <c r="GS85" s="91"/>
      <c r="GT85" s="91"/>
      <c r="GU85" s="91"/>
      <c r="GV85" s="91"/>
      <c r="GW85" s="91"/>
      <c r="GX85" s="91"/>
      <c r="GY85" s="91"/>
      <c r="GZ85" s="91"/>
      <c r="HA85" s="91"/>
      <c r="HB85" s="91"/>
      <c r="HC85" s="91"/>
      <c r="HD85" s="91"/>
      <c r="HE85" s="91"/>
      <c r="HF85" s="91"/>
      <c r="HG85" s="91"/>
      <c r="HH85" s="91"/>
      <c r="HI85" s="91"/>
      <c r="HJ85" s="91"/>
      <c r="HK85" s="91"/>
      <c r="HL85" s="91"/>
      <c r="HM85" s="91"/>
      <c r="HN85" s="91"/>
      <c r="HO85" s="91"/>
      <c r="HP85" s="91"/>
      <c r="HQ85" s="91"/>
      <c r="HR85" s="91"/>
      <c r="HS85" s="91"/>
      <c r="HT85" s="91"/>
      <c r="HU85" s="91"/>
      <c r="HV85" s="91"/>
      <c r="HW85" s="91"/>
      <c r="HX85" s="91"/>
      <c r="HY85" s="91"/>
      <c r="HZ85" s="91"/>
      <c r="IA85" s="91"/>
      <c r="IB85" s="91"/>
      <c r="IC85" s="91"/>
      <c r="ID85" s="91"/>
      <c r="IE85" s="91"/>
      <c r="IF85" s="91"/>
      <c r="IG85" s="91"/>
      <c r="IH85" s="91"/>
    </row>
    <row r="86" ht="15.75" customHeight="1">
      <c r="A86" s="4"/>
      <c r="B86" s="4"/>
      <c r="C86" s="20" t="s">
        <v>230</v>
      </c>
      <c r="D86" s="7" t="s">
        <v>231</v>
      </c>
      <c r="E86" s="20" t="s">
        <v>46</v>
      </c>
      <c r="F86" s="87">
        <v>46177.0</v>
      </c>
      <c r="G86" s="87">
        <v>46183.0</v>
      </c>
      <c r="H86" s="20">
        <f t="shared" ref="H86:H95" si="5">G86-F86</f>
        <v>6</v>
      </c>
      <c r="I86" s="88" t="s">
        <v>34</v>
      </c>
      <c r="J86" s="89">
        <f t="array" ref="J86">IFS(I86="Completo",100%,I86="Não iniciado",0%,I86="Em Progresso",50%)</f>
        <v>1</v>
      </c>
      <c r="K86" s="88" t="s">
        <v>232</v>
      </c>
      <c r="L86" s="4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DY86" s="91"/>
      <c r="DZ86" s="91"/>
      <c r="EA86" s="91"/>
      <c r="EB86" s="91"/>
      <c r="EC86" s="91"/>
      <c r="ED86" s="91"/>
      <c r="EE86" s="91"/>
      <c r="EF86" s="91"/>
      <c r="EG86" s="91"/>
      <c r="EH86" s="91"/>
      <c r="EI86" s="91"/>
      <c r="EJ86" s="91"/>
      <c r="EK86" s="91"/>
      <c r="EL86" s="91"/>
      <c r="EM86" s="91"/>
      <c r="EN86" s="91"/>
      <c r="EO86" s="91"/>
      <c r="EP86" s="91"/>
      <c r="EQ86" s="91"/>
      <c r="ER86" s="91"/>
      <c r="ES86" s="91"/>
      <c r="ET86" s="91"/>
      <c r="EU86" s="91"/>
      <c r="EV86" s="91"/>
      <c r="EW86" s="91"/>
      <c r="EX86" s="91"/>
      <c r="EY86" s="91"/>
      <c r="EZ86" s="91"/>
      <c r="FA86" s="91"/>
      <c r="FB86" s="91"/>
      <c r="FC86" s="91"/>
      <c r="FD86" s="91"/>
      <c r="FE86" s="91"/>
      <c r="FF86" s="91"/>
      <c r="FG86" s="91"/>
      <c r="FH86" s="91"/>
      <c r="FI86" s="91"/>
      <c r="FJ86" s="91"/>
      <c r="FK86" s="91"/>
      <c r="FL86" s="91"/>
      <c r="FM86" s="91"/>
      <c r="FN86" s="91"/>
      <c r="FO86" s="91"/>
      <c r="FP86" s="91"/>
      <c r="FQ86" s="91"/>
      <c r="FR86" s="91"/>
      <c r="FS86" s="91"/>
      <c r="FT86" s="91"/>
      <c r="FU86" s="91"/>
      <c r="FV86" s="91"/>
      <c r="FW86" s="91"/>
      <c r="FX86" s="91"/>
      <c r="FY86" s="91"/>
      <c r="FZ86" s="91"/>
      <c r="GA86" s="91"/>
      <c r="GB86" s="91"/>
      <c r="GC86" s="91"/>
      <c r="GD86" s="91"/>
      <c r="GE86" s="91"/>
      <c r="GF86" s="91"/>
      <c r="GG86" s="91"/>
      <c r="GH86" s="91"/>
      <c r="GI86" s="91"/>
      <c r="GJ86" s="91"/>
      <c r="GK86" s="91"/>
      <c r="GL86" s="91"/>
      <c r="GM86" s="91"/>
      <c r="GN86" s="91"/>
      <c r="GO86" s="91"/>
      <c r="GP86" s="91"/>
      <c r="GQ86" s="91"/>
      <c r="GR86" s="91"/>
      <c r="GS86" s="91"/>
      <c r="GT86" s="91"/>
      <c r="GU86" s="91"/>
      <c r="GV86" s="91"/>
      <c r="GW86" s="91"/>
      <c r="GX86" s="91"/>
      <c r="GY86" s="91"/>
      <c r="GZ86" s="91"/>
      <c r="HA86" s="91"/>
      <c r="HB86" s="91"/>
      <c r="HC86" s="91"/>
      <c r="HD86" s="91"/>
      <c r="HE86" s="91"/>
      <c r="HF86" s="91"/>
      <c r="HG86" s="91"/>
      <c r="HH86" s="91"/>
      <c r="HI86" s="91"/>
      <c r="HJ86" s="91"/>
      <c r="HK86" s="91"/>
      <c r="HL86" s="91"/>
      <c r="HM86" s="91"/>
      <c r="HN86" s="91"/>
      <c r="HO86" s="91"/>
      <c r="HP86" s="91"/>
      <c r="HQ86" s="91"/>
      <c r="HR86" s="91"/>
      <c r="HS86" s="91"/>
      <c r="HT86" s="91"/>
      <c r="HU86" s="91"/>
      <c r="HV86" s="91"/>
      <c r="HW86" s="91"/>
      <c r="HX86" s="91"/>
      <c r="HY86" s="91"/>
      <c r="HZ86" s="91"/>
      <c r="IA86" s="91"/>
      <c r="IB86" s="91"/>
      <c r="IC86" s="91"/>
      <c r="ID86" s="91"/>
      <c r="IE86" s="91"/>
      <c r="IF86" s="91"/>
      <c r="IG86" s="91"/>
      <c r="IH86" s="91"/>
    </row>
    <row r="87" ht="15.75" customHeight="1">
      <c r="A87" s="4"/>
      <c r="B87" s="4"/>
      <c r="C87" s="5" t="s">
        <v>233</v>
      </c>
      <c r="D87" s="7" t="s">
        <v>234</v>
      </c>
      <c r="E87" s="5" t="s">
        <v>59</v>
      </c>
      <c r="F87" s="93">
        <v>46178.0</v>
      </c>
      <c r="G87" s="93">
        <v>46180.0</v>
      </c>
      <c r="H87" s="20">
        <f t="shared" si="5"/>
        <v>2</v>
      </c>
      <c r="I87" s="88" t="s">
        <v>34</v>
      </c>
      <c r="J87" s="89">
        <f t="array" ref="J87">IFS(I87="Completo",100%,I87="Não iniciado",0%,I87="Em Progresso",50%)</f>
        <v>1</v>
      </c>
      <c r="K87" s="5" t="s">
        <v>235</v>
      </c>
      <c r="L87" s="4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DY87" s="91"/>
      <c r="DZ87" s="91"/>
      <c r="EA87" s="91"/>
      <c r="EB87" s="91"/>
      <c r="EC87" s="91"/>
      <c r="ED87" s="91"/>
      <c r="EE87" s="91"/>
      <c r="EF87" s="91"/>
      <c r="EG87" s="91"/>
      <c r="EH87" s="91"/>
      <c r="EI87" s="91"/>
      <c r="EJ87" s="91"/>
      <c r="EK87" s="91"/>
      <c r="EL87" s="91"/>
      <c r="EM87" s="91"/>
      <c r="EN87" s="91"/>
      <c r="EO87" s="91"/>
      <c r="EP87" s="91"/>
      <c r="EQ87" s="91"/>
      <c r="ER87" s="91"/>
      <c r="ES87" s="91"/>
      <c r="ET87" s="91"/>
      <c r="EU87" s="91"/>
      <c r="EV87" s="91"/>
      <c r="EW87" s="91"/>
      <c r="EX87" s="91"/>
      <c r="EY87" s="91"/>
      <c r="EZ87" s="91"/>
      <c r="FA87" s="91"/>
      <c r="FB87" s="91"/>
      <c r="FC87" s="91"/>
      <c r="FD87" s="91"/>
      <c r="FE87" s="91"/>
      <c r="FF87" s="91"/>
      <c r="FG87" s="91"/>
      <c r="FH87" s="91"/>
      <c r="FI87" s="91"/>
      <c r="FJ87" s="91"/>
      <c r="FK87" s="91"/>
      <c r="FL87" s="91"/>
      <c r="FM87" s="91"/>
      <c r="FN87" s="91"/>
      <c r="FO87" s="91"/>
      <c r="FP87" s="91"/>
      <c r="FQ87" s="91"/>
      <c r="FR87" s="91"/>
      <c r="FS87" s="91"/>
      <c r="FT87" s="91"/>
      <c r="FU87" s="91"/>
      <c r="FV87" s="91"/>
      <c r="FW87" s="91"/>
      <c r="FX87" s="91"/>
      <c r="FY87" s="91"/>
      <c r="FZ87" s="91"/>
      <c r="GA87" s="91"/>
      <c r="GB87" s="91"/>
      <c r="GC87" s="91"/>
      <c r="GD87" s="91"/>
      <c r="GE87" s="91"/>
      <c r="GF87" s="91"/>
      <c r="GG87" s="91"/>
      <c r="GH87" s="91"/>
      <c r="GI87" s="91"/>
      <c r="GJ87" s="91"/>
      <c r="GK87" s="91"/>
      <c r="GL87" s="91"/>
      <c r="GM87" s="91"/>
      <c r="GN87" s="91"/>
      <c r="GO87" s="91"/>
      <c r="GP87" s="91"/>
      <c r="GQ87" s="91"/>
      <c r="GR87" s="91"/>
      <c r="GS87" s="91"/>
      <c r="GT87" s="91"/>
      <c r="GU87" s="91"/>
      <c r="GV87" s="91"/>
      <c r="GW87" s="91"/>
      <c r="GX87" s="91"/>
      <c r="GY87" s="91"/>
      <c r="GZ87" s="91"/>
      <c r="HA87" s="91"/>
      <c r="HB87" s="91"/>
      <c r="HC87" s="91"/>
      <c r="HD87" s="91"/>
      <c r="HE87" s="91"/>
      <c r="HF87" s="91"/>
      <c r="HG87" s="91"/>
      <c r="HH87" s="91"/>
      <c r="HI87" s="91"/>
      <c r="HJ87" s="91"/>
      <c r="HK87" s="91"/>
      <c r="HL87" s="91"/>
      <c r="HM87" s="91"/>
      <c r="HN87" s="91"/>
      <c r="HO87" s="91"/>
      <c r="HP87" s="91"/>
      <c r="HQ87" s="91"/>
      <c r="HR87" s="91"/>
      <c r="HS87" s="91"/>
      <c r="HT87" s="91"/>
      <c r="HU87" s="91"/>
      <c r="HV87" s="91"/>
      <c r="HW87" s="91"/>
      <c r="HX87" s="91"/>
      <c r="HY87" s="91"/>
      <c r="HZ87" s="91"/>
      <c r="IA87" s="91"/>
      <c r="IB87" s="91"/>
      <c r="IC87" s="91"/>
      <c r="ID87" s="91"/>
      <c r="IE87" s="91"/>
      <c r="IF87" s="91"/>
      <c r="IG87" s="91"/>
      <c r="IH87" s="91"/>
    </row>
    <row r="88" ht="15.75" customHeight="1">
      <c r="A88" s="4"/>
      <c r="B88" s="4"/>
      <c r="C88" s="5" t="s">
        <v>236</v>
      </c>
      <c r="D88" s="7" t="s">
        <v>228</v>
      </c>
      <c r="E88" s="5" t="s">
        <v>59</v>
      </c>
      <c r="F88" s="93">
        <v>46179.0</v>
      </c>
      <c r="G88" s="93">
        <v>46180.0</v>
      </c>
      <c r="H88" s="20">
        <f t="shared" si="5"/>
        <v>1</v>
      </c>
      <c r="I88" s="88" t="s">
        <v>34</v>
      </c>
      <c r="J88" s="89">
        <f t="array" ref="J88">IFS(I88="Completo",100%,I88="Não iniciado",0%,I88="Em Progresso",50%)</f>
        <v>1</v>
      </c>
      <c r="K88" s="88" t="s">
        <v>237</v>
      </c>
      <c r="L88" s="4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DY88" s="91"/>
      <c r="DZ88" s="91"/>
      <c r="EA88" s="91"/>
      <c r="EB88" s="91"/>
      <c r="EC88" s="91"/>
      <c r="ED88" s="91"/>
      <c r="EE88" s="91"/>
      <c r="EF88" s="91"/>
      <c r="EG88" s="91"/>
      <c r="EH88" s="91"/>
      <c r="EI88" s="91"/>
      <c r="EJ88" s="91"/>
      <c r="EK88" s="91"/>
      <c r="EL88" s="91"/>
      <c r="EM88" s="91"/>
      <c r="EN88" s="91"/>
      <c r="EO88" s="91"/>
      <c r="EP88" s="91"/>
      <c r="EQ88" s="91"/>
      <c r="ER88" s="91"/>
      <c r="ES88" s="91"/>
      <c r="ET88" s="91"/>
      <c r="EU88" s="91"/>
      <c r="EV88" s="91"/>
      <c r="EW88" s="91"/>
      <c r="EX88" s="91"/>
      <c r="EY88" s="91"/>
      <c r="EZ88" s="91"/>
      <c r="FA88" s="91"/>
      <c r="FB88" s="91"/>
      <c r="FC88" s="91"/>
      <c r="FD88" s="91"/>
      <c r="FE88" s="91"/>
      <c r="FF88" s="91"/>
      <c r="FG88" s="91"/>
      <c r="FH88" s="91"/>
      <c r="FI88" s="91"/>
      <c r="FJ88" s="91"/>
      <c r="FK88" s="91"/>
      <c r="FL88" s="91"/>
      <c r="FM88" s="91"/>
      <c r="FN88" s="91"/>
      <c r="FO88" s="91"/>
      <c r="FP88" s="91"/>
      <c r="FQ88" s="91"/>
      <c r="FR88" s="91"/>
      <c r="FS88" s="91"/>
      <c r="FT88" s="91"/>
      <c r="FU88" s="91"/>
      <c r="FV88" s="91"/>
      <c r="FW88" s="91"/>
      <c r="FX88" s="91"/>
      <c r="FY88" s="91"/>
      <c r="FZ88" s="91"/>
      <c r="GA88" s="91"/>
      <c r="GB88" s="91"/>
      <c r="GC88" s="91"/>
      <c r="GD88" s="91"/>
      <c r="GE88" s="91"/>
      <c r="GF88" s="91"/>
      <c r="GG88" s="91"/>
      <c r="GH88" s="91"/>
      <c r="GI88" s="91"/>
      <c r="GJ88" s="91"/>
      <c r="GK88" s="91"/>
      <c r="GL88" s="91"/>
      <c r="GM88" s="91"/>
      <c r="GN88" s="91"/>
      <c r="GO88" s="91"/>
      <c r="GP88" s="91"/>
      <c r="GQ88" s="91"/>
      <c r="GR88" s="91"/>
      <c r="GS88" s="91"/>
      <c r="GT88" s="91"/>
      <c r="GU88" s="91"/>
      <c r="GV88" s="91"/>
      <c r="GW88" s="91"/>
      <c r="GX88" s="91"/>
      <c r="GY88" s="91"/>
      <c r="GZ88" s="91"/>
      <c r="HA88" s="91"/>
      <c r="HB88" s="91"/>
      <c r="HC88" s="91"/>
      <c r="HD88" s="91"/>
      <c r="HE88" s="91"/>
      <c r="HF88" s="91"/>
      <c r="HG88" s="91"/>
      <c r="HH88" s="91"/>
      <c r="HI88" s="91"/>
      <c r="HJ88" s="91"/>
      <c r="HK88" s="91"/>
      <c r="HL88" s="91"/>
      <c r="HM88" s="91"/>
      <c r="HN88" s="91"/>
      <c r="HO88" s="91"/>
      <c r="HP88" s="91"/>
      <c r="HQ88" s="91"/>
      <c r="HR88" s="91"/>
      <c r="HS88" s="91"/>
      <c r="HT88" s="91"/>
      <c r="HU88" s="91"/>
      <c r="HV88" s="91"/>
      <c r="HW88" s="91"/>
      <c r="HX88" s="91"/>
      <c r="HY88" s="91"/>
      <c r="HZ88" s="91"/>
      <c r="IA88" s="91"/>
      <c r="IB88" s="91"/>
      <c r="IC88" s="91"/>
      <c r="ID88" s="91"/>
      <c r="IE88" s="91"/>
      <c r="IF88" s="91"/>
      <c r="IG88" s="91"/>
      <c r="IH88" s="91"/>
    </row>
    <row r="89" ht="15.75" customHeight="1">
      <c r="A89" s="4"/>
      <c r="B89" s="4"/>
      <c r="C89" s="20" t="s">
        <v>238</v>
      </c>
      <c r="D89" s="7" t="s">
        <v>239</v>
      </c>
      <c r="E89" s="20" t="s">
        <v>46</v>
      </c>
      <c r="F89" s="87">
        <v>46179.0</v>
      </c>
      <c r="G89" s="87">
        <v>46181.0</v>
      </c>
      <c r="H89" s="20">
        <f t="shared" si="5"/>
        <v>2</v>
      </c>
      <c r="I89" s="88" t="s">
        <v>34</v>
      </c>
      <c r="J89" s="89">
        <f t="array" ref="J89">IFS(I89="Completo",100%,I89="Não iniciado",0%,I89="Em Progresso",50%)</f>
        <v>1</v>
      </c>
      <c r="K89" s="88" t="s">
        <v>240</v>
      </c>
      <c r="L89" s="4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DY89" s="91"/>
      <c r="DZ89" s="91"/>
      <c r="EA89" s="91"/>
      <c r="EB89" s="91"/>
      <c r="EC89" s="91"/>
      <c r="ED89" s="91"/>
      <c r="EE89" s="91"/>
      <c r="EF89" s="91"/>
      <c r="EG89" s="91"/>
      <c r="EH89" s="91"/>
      <c r="EI89" s="91"/>
      <c r="EJ89" s="91"/>
      <c r="EK89" s="91"/>
      <c r="EL89" s="91"/>
      <c r="EM89" s="91"/>
      <c r="EN89" s="91"/>
      <c r="EO89" s="91"/>
      <c r="EP89" s="91"/>
      <c r="EQ89" s="91"/>
      <c r="ER89" s="91"/>
      <c r="ES89" s="91"/>
      <c r="ET89" s="91"/>
      <c r="EU89" s="91"/>
      <c r="EV89" s="91"/>
      <c r="EW89" s="91"/>
      <c r="EX89" s="91"/>
      <c r="EY89" s="91"/>
      <c r="EZ89" s="91"/>
      <c r="FA89" s="91"/>
      <c r="FB89" s="91"/>
      <c r="FC89" s="91"/>
      <c r="FD89" s="91"/>
      <c r="FE89" s="91"/>
      <c r="FF89" s="91"/>
      <c r="FG89" s="91"/>
      <c r="FH89" s="91"/>
      <c r="FI89" s="91"/>
      <c r="FJ89" s="91"/>
      <c r="FK89" s="91"/>
      <c r="FL89" s="91"/>
      <c r="FM89" s="91"/>
      <c r="FN89" s="91"/>
      <c r="FO89" s="91"/>
      <c r="FP89" s="91"/>
      <c r="FQ89" s="91"/>
      <c r="FR89" s="91"/>
      <c r="FS89" s="91"/>
      <c r="FT89" s="91"/>
      <c r="FU89" s="91"/>
      <c r="FV89" s="91"/>
      <c r="FW89" s="91"/>
      <c r="FX89" s="91"/>
      <c r="FY89" s="91"/>
      <c r="FZ89" s="91"/>
      <c r="GA89" s="91"/>
      <c r="GB89" s="91"/>
      <c r="GC89" s="91"/>
      <c r="GD89" s="91"/>
      <c r="GE89" s="91"/>
      <c r="GF89" s="91"/>
      <c r="GG89" s="91"/>
      <c r="GH89" s="91"/>
      <c r="GI89" s="91"/>
      <c r="GJ89" s="91"/>
      <c r="GK89" s="91"/>
      <c r="GL89" s="91"/>
      <c r="GM89" s="91"/>
      <c r="GN89" s="91"/>
      <c r="GO89" s="91"/>
      <c r="GP89" s="91"/>
      <c r="GQ89" s="91"/>
      <c r="GR89" s="91"/>
      <c r="GS89" s="91"/>
      <c r="GT89" s="91"/>
      <c r="GU89" s="91"/>
      <c r="GV89" s="91"/>
      <c r="GW89" s="91"/>
      <c r="GX89" s="91"/>
      <c r="GY89" s="91"/>
      <c r="GZ89" s="91"/>
      <c r="HA89" s="91"/>
      <c r="HB89" s="91"/>
      <c r="HC89" s="91"/>
      <c r="HD89" s="91"/>
      <c r="HE89" s="91"/>
      <c r="HF89" s="91"/>
      <c r="HG89" s="91"/>
      <c r="HH89" s="91"/>
      <c r="HI89" s="91"/>
      <c r="HJ89" s="91"/>
      <c r="HK89" s="91"/>
      <c r="HL89" s="91"/>
      <c r="HM89" s="91"/>
      <c r="HN89" s="91"/>
      <c r="HO89" s="91"/>
      <c r="HP89" s="91"/>
      <c r="HQ89" s="91"/>
      <c r="HR89" s="91"/>
      <c r="HS89" s="91"/>
      <c r="HT89" s="91"/>
      <c r="HU89" s="91"/>
      <c r="HV89" s="91"/>
      <c r="HW89" s="91"/>
      <c r="HX89" s="91"/>
      <c r="HY89" s="91"/>
      <c r="HZ89" s="91"/>
      <c r="IA89" s="91"/>
      <c r="IB89" s="91"/>
      <c r="IC89" s="91"/>
      <c r="ID89" s="91"/>
      <c r="IE89" s="91"/>
      <c r="IF89" s="91"/>
      <c r="IG89" s="91"/>
      <c r="IH89" s="91"/>
    </row>
    <row r="90" ht="27.0" customHeight="1">
      <c r="A90" s="4"/>
      <c r="B90" s="4"/>
      <c r="C90" s="94" t="s">
        <v>89</v>
      </c>
      <c r="D90" s="95" t="s">
        <v>90</v>
      </c>
      <c r="E90" s="94" t="s">
        <v>91</v>
      </c>
      <c r="F90" s="106">
        <v>46189.0</v>
      </c>
      <c r="G90" s="106">
        <v>46194.0</v>
      </c>
      <c r="H90" s="97">
        <f t="shared" si="5"/>
        <v>5</v>
      </c>
      <c r="I90" s="98" t="s">
        <v>34</v>
      </c>
      <c r="J90" s="99">
        <f t="array" ref="J90">IFS(I88="Completo",100%,I88="Não iniciado",0%,I88="Em Progresso",50%)</f>
        <v>1</v>
      </c>
      <c r="K90" s="94" t="s">
        <v>92</v>
      </c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DY90" s="91"/>
      <c r="DZ90" s="91"/>
      <c r="EA90" s="91"/>
      <c r="EB90" s="91"/>
      <c r="EC90" s="91"/>
      <c r="ED90" s="91"/>
      <c r="EE90" s="91"/>
      <c r="EF90" s="91"/>
      <c r="EG90" s="91"/>
      <c r="EH90" s="91"/>
      <c r="EI90" s="91"/>
      <c r="EJ90" s="91"/>
      <c r="EK90" s="91"/>
      <c r="EL90" s="91"/>
      <c r="EM90" s="91"/>
      <c r="EN90" s="91"/>
      <c r="EO90" s="91"/>
      <c r="EP90" s="91"/>
      <c r="EQ90" s="91"/>
      <c r="ER90" s="91"/>
      <c r="ES90" s="91"/>
      <c r="ET90" s="91"/>
      <c r="EU90" s="91"/>
      <c r="EV90" s="91"/>
      <c r="EW90" s="91"/>
      <c r="EX90" s="91"/>
      <c r="EY90" s="91"/>
      <c r="EZ90" s="91"/>
      <c r="FA90" s="91"/>
      <c r="FB90" s="91"/>
      <c r="FC90" s="91"/>
      <c r="FD90" s="91"/>
      <c r="FE90" s="91"/>
      <c r="FF90" s="91"/>
      <c r="FG90" s="91"/>
      <c r="FH90" s="91"/>
      <c r="FI90" s="91"/>
      <c r="FJ90" s="91"/>
      <c r="FK90" s="91"/>
      <c r="FL90" s="91"/>
      <c r="FM90" s="91"/>
      <c r="FN90" s="91"/>
      <c r="FO90" s="91"/>
      <c r="FP90" s="91"/>
      <c r="FQ90" s="91"/>
      <c r="FR90" s="91"/>
      <c r="FS90" s="91"/>
      <c r="FT90" s="91"/>
      <c r="FU90" s="91"/>
      <c r="FV90" s="91"/>
      <c r="FW90" s="91"/>
      <c r="FX90" s="91"/>
      <c r="FY90" s="91"/>
      <c r="FZ90" s="91"/>
      <c r="GA90" s="91"/>
      <c r="GB90" s="91"/>
      <c r="GC90" s="91"/>
      <c r="GD90" s="91"/>
      <c r="GE90" s="91"/>
      <c r="GF90" s="91"/>
      <c r="GG90" s="91"/>
      <c r="GH90" s="91"/>
      <c r="GI90" s="91"/>
      <c r="GJ90" s="91"/>
      <c r="GK90" s="91"/>
      <c r="GL90" s="91"/>
      <c r="GM90" s="91"/>
      <c r="GN90" s="91"/>
      <c r="GO90" s="91"/>
      <c r="GP90" s="91"/>
      <c r="GQ90" s="91"/>
      <c r="GR90" s="91"/>
      <c r="GS90" s="91"/>
      <c r="GT90" s="91"/>
      <c r="GU90" s="91"/>
      <c r="GV90" s="91"/>
      <c r="GW90" s="91"/>
      <c r="GX90" s="91"/>
      <c r="GY90" s="91"/>
      <c r="GZ90" s="91"/>
      <c r="HA90" s="91"/>
      <c r="HB90" s="91"/>
      <c r="HC90" s="91"/>
      <c r="HD90" s="91"/>
      <c r="HE90" s="91"/>
      <c r="HF90" s="91"/>
      <c r="HG90" s="91"/>
      <c r="HH90" s="91"/>
      <c r="HI90" s="91"/>
      <c r="HJ90" s="91"/>
      <c r="HK90" s="91"/>
      <c r="HL90" s="91"/>
      <c r="HM90" s="91"/>
      <c r="HN90" s="91"/>
      <c r="HO90" s="91"/>
      <c r="HP90" s="91"/>
      <c r="HQ90" s="91"/>
      <c r="HR90" s="91"/>
      <c r="HS90" s="91"/>
      <c r="HT90" s="91"/>
      <c r="HU90" s="91"/>
      <c r="HV90" s="91"/>
      <c r="HW90" s="91"/>
      <c r="HX90" s="91"/>
      <c r="HY90" s="91"/>
      <c r="HZ90" s="91"/>
      <c r="IA90" s="91"/>
      <c r="IB90" s="91"/>
      <c r="IC90" s="91"/>
      <c r="ID90" s="91"/>
      <c r="IE90" s="91"/>
      <c r="IF90" s="91"/>
      <c r="IG90" s="91"/>
      <c r="IH90" s="91"/>
    </row>
    <row r="91" ht="27.0" customHeight="1">
      <c r="A91" s="4"/>
      <c r="B91" s="4"/>
      <c r="C91" s="94" t="s">
        <v>93</v>
      </c>
      <c r="D91" s="95" t="s">
        <v>94</v>
      </c>
      <c r="E91" s="94" t="s">
        <v>95</v>
      </c>
      <c r="F91" s="106">
        <v>46187.0</v>
      </c>
      <c r="G91" s="106">
        <v>46192.0</v>
      </c>
      <c r="H91" s="97">
        <f t="shared" si="5"/>
        <v>5</v>
      </c>
      <c r="I91" s="98" t="s">
        <v>34</v>
      </c>
      <c r="J91" s="99">
        <f t="array" ref="J91">IFS(I89="Completo",100%,I89="Não iniciado",0%,I89="Em Progresso",50%)</f>
        <v>1</v>
      </c>
      <c r="K91" s="94" t="s">
        <v>89</v>
      </c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DY91" s="91"/>
      <c r="DZ91" s="91"/>
      <c r="EA91" s="91"/>
      <c r="EB91" s="91"/>
      <c r="EC91" s="91"/>
      <c r="ED91" s="91"/>
      <c r="EE91" s="91"/>
      <c r="EF91" s="91"/>
      <c r="EG91" s="91"/>
      <c r="EH91" s="91"/>
      <c r="EI91" s="91"/>
      <c r="EJ91" s="91"/>
      <c r="EK91" s="91"/>
      <c r="EL91" s="91"/>
      <c r="EM91" s="91"/>
      <c r="EN91" s="91"/>
      <c r="EO91" s="91"/>
      <c r="EP91" s="91"/>
      <c r="EQ91" s="91"/>
      <c r="ER91" s="91"/>
      <c r="ES91" s="91"/>
      <c r="ET91" s="91"/>
      <c r="EU91" s="91"/>
      <c r="EV91" s="91"/>
      <c r="EW91" s="91"/>
      <c r="EX91" s="91"/>
      <c r="EY91" s="91"/>
      <c r="EZ91" s="91"/>
      <c r="FA91" s="91"/>
      <c r="FB91" s="91"/>
      <c r="FC91" s="91"/>
      <c r="FD91" s="91"/>
      <c r="FE91" s="91"/>
      <c r="FF91" s="91"/>
      <c r="FG91" s="91"/>
      <c r="FH91" s="91"/>
      <c r="FI91" s="91"/>
      <c r="FJ91" s="91"/>
      <c r="FK91" s="91"/>
      <c r="FL91" s="91"/>
      <c r="FM91" s="91"/>
      <c r="FN91" s="91"/>
      <c r="FO91" s="91"/>
      <c r="FP91" s="91"/>
      <c r="FQ91" s="91"/>
      <c r="FR91" s="91"/>
      <c r="FS91" s="91"/>
      <c r="FT91" s="91"/>
      <c r="FU91" s="91"/>
      <c r="FV91" s="91"/>
      <c r="FW91" s="91"/>
      <c r="FX91" s="91"/>
      <c r="FY91" s="91"/>
      <c r="FZ91" s="91"/>
      <c r="GA91" s="91"/>
      <c r="GB91" s="91"/>
      <c r="GC91" s="91"/>
      <c r="GD91" s="91"/>
      <c r="GE91" s="91"/>
      <c r="GF91" s="91"/>
      <c r="GG91" s="91"/>
      <c r="GH91" s="91"/>
      <c r="GI91" s="91"/>
      <c r="GJ91" s="91"/>
      <c r="GK91" s="91"/>
      <c r="GL91" s="91"/>
      <c r="GM91" s="91"/>
      <c r="GN91" s="91"/>
      <c r="GO91" s="91"/>
      <c r="GP91" s="91"/>
      <c r="GQ91" s="91"/>
      <c r="GR91" s="91"/>
      <c r="GS91" s="91"/>
      <c r="GT91" s="91"/>
      <c r="GU91" s="91"/>
      <c r="GV91" s="91"/>
      <c r="GW91" s="91"/>
      <c r="GX91" s="91"/>
      <c r="GY91" s="91"/>
      <c r="GZ91" s="91"/>
      <c r="HA91" s="91"/>
      <c r="HB91" s="91"/>
      <c r="HC91" s="91"/>
      <c r="HD91" s="91"/>
      <c r="HE91" s="91"/>
      <c r="HF91" s="91"/>
      <c r="HG91" s="91"/>
      <c r="HH91" s="91"/>
      <c r="HI91" s="91"/>
      <c r="HJ91" s="91"/>
      <c r="HK91" s="91"/>
      <c r="HL91" s="91"/>
      <c r="HM91" s="91"/>
      <c r="HN91" s="91"/>
      <c r="HO91" s="91"/>
      <c r="HP91" s="91"/>
      <c r="HQ91" s="91"/>
      <c r="HR91" s="91"/>
      <c r="HS91" s="91"/>
      <c r="HT91" s="91"/>
      <c r="HU91" s="91"/>
      <c r="HV91" s="91"/>
      <c r="HW91" s="91"/>
      <c r="HX91" s="91"/>
      <c r="HY91" s="91"/>
      <c r="HZ91" s="91"/>
      <c r="IA91" s="91"/>
      <c r="IB91" s="91"/>
      <c r="IC91" s="91"/>
      <c r="ID91" s="91"/>
      <c r="IE91" s="91"/>
      <c r="IF91" s="91"/>
      <c r="IG91" s="91"/>
      <c r="IH91" s="91"/>
    </row>
    <row r="92" ht="27.0" customHeight="1">
      <c r="A92" s="4"/>
      <c r="B92" s="4"/>
      <c r="C92" s="94" t="s">
        <v>96</v>
      </c>
      <c r="D92" s="95" t="s">
        <v>97</v>
      </c>
      <c r="E92" s="94" t="s">
        <v>95</v>
      </c>
      <c r="F92" s="106">
        <v>46193.0</v>
      </c>
      <c r="G92" s="106">
        <v>46200.0</v>
      </c>
      <c r="H92" s="97">
        <f t="shared" si="5"/>
        <v>7</v>
      </c>
      <c r="I92" s="98" t="s">
        <v>34</v>
      </c>
      <c r="J92" s="99">
        <f t="array" ref="J92">IFS(I49="Completo",100%,I49="Não iniciado",0%,I49="Em Progresso",50%)</f>
        <v>1</v>
      </c>
      <c r="K92" s="94" t="s">
        <v>93</v>
      </c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DY92" s="91"/>
      <c r="DZ92" s="91"/>
      <c r="EA92" s="91"/>
      <c r="EB92" s="91"/>
      <c r="EC92" s="91"/>
      <c r="ED92" s="91"/>
      <c r="EE92" s="91"/>
      <c r="EF92" s="91"/>
      <c r="EG92" s="91"/>
      <c r="EH92" s="91"/>
      <c r="EI92" s="91"/>
      <c r="EJ92" s="91"/>
      <c r="EK92" s="91"/>
      <c r="EL92" s="91"/>
      <c r="EM92" s="91"/>
      <c r="EN92" s="91"/>
      <c r="EO92" s="91"/>
      <c r="EP92" s="91"/>
      <c r="EQ92" s="91"/>
      <c r="ER92" s="91"/>
      <c r="ES92" s="91"/>
      <c r="ET92" s="91"/>
      <c r="EU92" s="91"/>
      <c r="EV92" s="91"/>
      <c r="EW92" s="91"/>
      <c r="EX92" s="91"/>
      <c r="EY92" s="91"/>
      <c r="EZ92" s="91"/>
      <c r="FA92" s="91"/>
      <c r="FB92" s="91"/>
      <c r="FC92" s="91"/>
      <c r="FD92" s="91"/>
      <c r="FE92" s="91"/>
      <c r="FF92" s="91"/>
      <c r="FG92" s="91"/>
      <c r="FH92" s="91"/>
      <c r="FI92" s="91"/>
      <c r="FJ92" s="91"/>
      <c r="FK92" s="91"/>
      <c r="FL92" s="91"/>
      <c r="FM92" s="91"/>
      <c r="FN92" s="91"/>
      <c r="FO92" s="91"/>
      <c r="FP92" s="91"/>
      <c r="FQ92" s="91"/>
      <c r="FR92" s="91"/>
      <c r="FS92" s="91"/>
      <c r="FT92" s="91"/>
      <c r="FU92" s="91"/>
      <c r="FV92" s="91"/>
      <c r="FW92" s="91"/>
      <c r="FX92" s="91"/>
      <c r="FY92" s="91"/>
      <c r="FZ92" s="91"/>
      <c r="GA92" s="91"/>
      <c r="GB92" s="91"/>
      <c r="GC92" s="91"/>
      <c r="GD92" s="91"/>
      <c r="GE92" s="91"/>
      <c r="GF92" s="91"/>
      <c r="GG92" s="91"/>
      <c r="GH92" s="91"/>
      <c r="GI92" s="91"/>
      <c r="GJ92" s="91"/>
      <c r="GK92" s="91"/>
      <c r="GL92" s="91"/>
      <c r="GM92" s="91"/>
      <c r="GN92" s="91"/>
      <c r="GO92" s="91"/>
      <c r="GP92" s="91"/>
      <c r="GQ92" s="91"/>
      <c r="GR92" s="91"/>
      <c r="GS92" s="91"/>
      <c r="GT92" s="91"/>
      <c r="GU92" s="91"/>
      <c r="GV92" s="91"/>
      <c r="GW92" s="91"/>
      <c r="GX92" s="91"/>
      <c r="GY92" s="91"/>
      <c r="GZ92" s="91"/>
      <c r="HA92" s="91"/>
      <c r="HB92" s="91"/>
      <c r="HC92" s="91"/>
      <c r="HD92" s="91"/>
      <c r="HE92" s="91"/>
      <c r="HF92" s="91"/>
      <c r="HG92" s="91"/>
      <c r="HH92" s="91"/>
      <c r="HI92" s="91"/>
      <c r="HJ92" s="91"/>
      <c r="HK92" s="91"/>
      <c r="HL92" s="91"/>
      <c r="HM92" s="91"/>
      <c r="HN92" s="91"/>
      <c r="HO92" s="91"/>
      <c r="HP92" s="91"/>
      <c r="HQ92" s="91"/>
      <c r="HR92" s="91"/>
      <c r="HS92" s="91"/>
      <c r="HT92" s="91"/>
      <c r="HU92" s="91"/>
      <c r="HV92" s="91"/>
      <c r="HW92" s="91"/>
      <c r="HX92" s="91"/>
      <c r="HY92" s="91"/>
      <c r="HZ92" s="91"/>
      <c r="IA92" s="91"/>
      <c r="IB92" s="91"/>
      <c r="IC92" s="91"/>
      <c r="ID92" s="91"/>
      <c r="IE92" s="91"/>
      <c r="IF92" s="91"/>
      <c r="IG92" s="91"/>
      <c r="IH92" s="91"/>
    </row>
    <row r="93" ht="27.0" customHeight="1">
      <c r="A93" s="4"/>
      <c r="B93" s="4"/>
      <c r="C93" s="94" t="s">
        <v>98</v>
      </c>
      <c r="D93" s="95" t="s">
        <v>99</v>
      </c>
      <c r="E93" s="94" t="s">
        <v>91</v>
      </c>
      <c r="F93" s="106">
        <v>46201.0</v>
      </c>
      <c r="G93" s="106">
        <v>46206.0</v>
      </c>
      <c r="H93" s="97">
        <f t="shared" si="5"/>
        <v>5</v>
      </c>
      <c r="I93" s="98" t="s">
        <v>34</v>
      </c>
      <c r="J93" s="99">
        <f t="array" ref="J93">IFS(I90="Completo",100%,I90="Não iniciado",0%,I90="Em Progresso",50%)</f>
        <v>1</v>
      </c>
      <c r="K93" s="94" t="s">
        <v>96</v>
      </c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DY93" s="91"/>
      <c r="DZ93" s="91"/>
      <c r="EA93" s="91"/>
      <c r="EB93" s="91"/>
      <c r="EC93" s="91"/>
      <c r="ED93" s="91"/>
      <c r="EE93" s="91"/>
      <c r="EF93" s="91"/>
      <c r="EG93" s="91"/>
      <c r="EH93" s="91"/>
      <c r="EI93" s="91"/>
      <c r="EJ93" s="91"/>
      <c r="EK93" s="91"/>
      <c r="EL93" s="91"/>
      <c r="EM93" s="91"/>
      <c r="EN93" s="91"/>
      <c r="EO93" s="91"/>
      <c r="EP93" s="91"/>
      <c r="EQ93" s="91"/>
      <c r="ER93" s="91"/>
      <c r="ES93" s="91"/>
      <c r="ET93" s="91"/>
      <c r="EU93" s="91"/>
      <c r="EV93" s="91"/>
      <c r="EW93" s="91"/>
      <c r="EX93" s="91"/>
      <c r="EY93" s="91"/>
      <c r="EZ93" s="91"/>
      <c r="FA93" s="91"/>
      <c r="FB93" s="91"/>
      <c r="FC93" s="91"/>
      <c r="FD93" s="91"/>
      <c r="FE93" s="91"/>
      <c r="FF93" s="91"/>
      <c r="FG93" s="91"/>
      <c r="FH93" s="91"/>
      <c r="FI93" s="91"/>
      <c r="FJ93" s="91"/>
      <c r="FK93" s="91"/>
      <c r="FL93" s="91"/>
      <c r="FM93" s="91"/>
      <c r="FN93" s="91"/>
      <c r="FO93" s="91"/>
      <c r="FP93" s="91"/>
      <c r="FQ93" s="91"/>
      <c r="FR93" s="91"/>
      <c r="FS93" s="91"/>
      <c r="FT93" s="91"/>
      <c r="FU93" s="91"/>
      <c r="FV93" s="91"/>
      <c r="FW93" s="91"/>
      <c r="FX93" s="91"/>
      <c r="FY93" s="91"/>
      <c r="FZ93" s="91"/>
      <c r="GA93" s="91"/>
      <c r="GB93" s="91"/>
      <c r="GC93" s="91"/>
      <c r="GD93" s="91"/>
      <c r="GE93" s="91"/>
      <c r="GF93" s="91"/>
      <c r="GG93" s="91"/>
      <c r="GH93" s="91"/>
      <c r="GI93" s="91"/>
      <c r="GJ93" s="91"/>
      <c r="GK93" s="91"/>
      <c r="GL93" s="91"/>
      <c r="GM93" s="91"/>
      <c r="GN93" s="91"/>
      <c r="GO93" s="91"/>
      <c r="GP93" s="91"/>
      <c r="GQ93" s="91"/>
      <c r="GR93" s="91"/>
      <c r="GS93" s="91"/>
      <c r="GT93" s="91"/>
      <c r="GU93" s="91"/>
      <c r="GV93" s="91"/>
      <c r="GW93" s="91"/>
      <c r="GX93" s="91"/>
      <c r="GY93" s="91"/>
      <c r="GZ93" s="91"/>
      <c r="HA93" s="91"/>
      <c r="HB93" s="91"/>
      <c r="HC93" s="91"/>
      <c r="HD93" s="91"/>
      <c r="HE93" s="91"/>
      <c r="HF93" s="91"/>
      <c r="HG93" s="91"/>
      <c r="HH93" s="91"/>
      <c r="HI93" s="91"/>
      <c r="HJ93" s="91"/>
      <c r="HK93" s="91"/>
      <c r="HL93" s="91"/>
      <c r="HM93" s="91"/>
      <c r="HN93" s="91"/>
      <c r="HO93" s="91"/>
      <c r="HP93" s="91"/>
      <c r="HQ93" s="91"/>
      <c r="HR93" s="91"/>
      <c r="HS93" s="91"/>
      <c r="HT93" s="91"/>
      <c r="HU93" s="91"/>
      <c r="HV93" s="91"/>
      <c r="HW93" s="91"/>
      <c r="HX93" s="91"/>
      <c r="HY93" s="91"/>
      <c r="HZ93" s="91"/>
      <c r="IA93" s="91"/>
      <c r="IB93" s="91"/>
      <c r="IC93" s="91"/>
      <c r="ID93" s="91"/>
      <c r="IE93" s="91"/>
      <c r="IF93" s="91"/>
      <c r="IG93" s="91"/>
      <c r="IH93" s="91"/>
    </row>
    <row r="94" ht="15.75" customHeight="1">
      <c r="A94" s="4"/>
      <c r="B94" s="4"/>
      <c r="C94" s="20" t="s">
        <v>241</v>
      </c>
      <c r="D94" s="7" t="s">
        <v>242</v>
      </c>
      <c r="E94" s="20" t="s">
        <v>46</v>
      </c>
      <c r="F94" s="87">
        <v>46210.0</v>
      </c>
      <c r="G94" s="87">
        <v>46212.0</v>
      </c>
      <c r="H94" s="20">
        <f t="shared" si="5"/>
        <v>2</v>
      </c>
      <c r="I94" s="107" t="s">
        <v>33</v>
      </c>
      <c r="J94" s="89">
        <f t="array" ref="J94">IFS($I94="Completo",100%,$I94="Não iniciado",0%,$I94="Em Progresso",50%)</f>
        <v>0.5</v>
      </c>
      <c r="K94" s="90" t="s">
        <v>243</v>
      </c>
      <c r="L94" s="4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DY94" s="91"/>
      <c r="DZ94" s="91"/>
      <c r="EA94" s="91"/>
      <c r="EB94" s="91"/>
      <c r="EC94" s="91"/>
      <c r="ED94" s="91"/>
      <c r="EE94" s="91"/>
      <c r="EF94" s="91"/>
      <c r="EG94" s="91"/>
      <c r="EH94" s="91"/>
      <c r="EI94" s="91"/>
      <c r="EJ94" s="91"/>
      <c r="EK94" s="91"/>
      <c r="EL94" s="91"/>
      <c r="EM94" s="91"/>
      <c r="EN94" s="91"/>
      <c r="EO94" s="91"/>
      <c r="EP94" s="91"/>
      <c r="EQ94" s="91"/>
      <c r="ER94" s="91"/>
      <c r="ES94" s="91"/>
      <c r="ET94" s="91"/>
      <c r="EU94" s="91"/>
      <c r="EV94" s="91"/>
      <c r="EW94" s="91"/>
      <c r="EX94" s="91"/>
      <c r="EY94" s="91"/>
      <c r="EZ94" s="91"/>
      <c r="FA94" s="91"/>
      <c r="FB94" s="91"/>
      <c r="FC94" s="91"/>
      <c r="FD94" s="91"/>
      <c r="FE94" s="91"/>
      <c r="FF94" s="91"/>
      <c r="FG94" s="91"/>
      <c r="FH94" s="91"/>
      <c r="FI94" s="91"/>
      <c r="FJ94" s="91"/>
      <c r="FK94" s="91"/>
      <c r="FL94" s="91"/>
      <c r="FM94" s="91"/>
      <c r="FN94" s="91"/>
      <c r="FO94" s="91"/>
      <c r="FP94" s="91"/>
      <c r="FQ94" s="91"/>
      <c r="FR94" s="91"/>
      <c r="FS94" s="91"/>
      <c r="FT94" s="91"/>
      <c r="FU94" s="91"/>
      <c r="FV94" s="91"/>
      <c r="FW94" s="91"/>
      <c r="FX94" s="91"/>
      <c r="FY94" s="91"/>
      <c r="FZ94" s="91"/>
      <c r="GA94" s="91"/>
      <c r="GB94" s="91"/>
      <c r="GC94" s="91"/>
      <c r="GD94" s="91"/>
      <c r="GE94" s="91"/>
      <c r="GF94" s="91"/>
      <c r="GG94" s="91"/>
      <c r="GH94" s="91"/>
      <c r="GI94" s="91"/>
      <c r="GJ94" s="91"/>
      <c r="GK94" s="91"/>
      <c r="GL94" s="91"/>
      <c r="GM94" s="91"/>
      <c r="GN94" s="91"/>
      <c r="GO94" s="91"/>
      <c r="GP94" s="91"/>
      <c r="GQ94" s="91"/>
      <c r="GR94" s="91"/>
      <c r="GS94" s="91"/>
      <c r="GT94" s="91"/>
      <c r="GU94" s="91"/>
      <c r="GV94" s="91"/>
      <c r="GW94" s="91"/>
      <c r="GX94" s="91"/>
      <c r="GY94" s="91"/>
      <c r="GZ94" s="91"/>
      <c r="HA94" s="91"/>
      <c r="HB94" s="91"/>
      <c r="HC94" s="91"/>
      <c r="HD94" s="91"/>
      <c r="HE94" s="91"/>
      <c r="HF94" s="91"/>
      <c r="HG94" s="91"/>
      <c r="HH94" s="91"/>
      <c r="HI94" s="91"/>
      <c r="HJ94" s="91"/>
      <c r="HK94" s="91"/>
      <c r="HL94" s="91"/>
      <c r="HM94" s="91"/>
      <c r="HN94" s="91"/>
      <c r="HO94" s="91"/>
      <c r="HP94" s="91"/>
      <c r="HQ94" s="91"/>
      <c r="HR94" s="91"/>
      <c r="HS94" s="91"/>
      <c r="HT94" s="91"/>
      <c r="HU94" s="91"/>
      <c r="HV94" s="91"/>
      <c r="HW94" s="91"/>
      <c r="HX94" s="91"/>
      <c r="HY94" s="91"/>
      <c r="HZ94" s="91"/>
      <c r="IA94" s="91"/>
      <c r="IB94" s="91"/>
      <c r="IC94" s="91"/>
      <c r="ID94" s="91"/>
      <c r="IE94" s="91"/>
      <c r="IF94" s="91"/>
      <c r="IG94" s="91"/>
      <c r="IH94" s="91"/>
    </row>
    <row r="95" ht="15.75" customHeight="1">
      <c r="A95" s="4"/>
      <c r="B95" s="4"/>
      <c r="C95" s="20" t="s">
        <v>244</v>
      </c>
      <c r="D95" s="7" t="s">
        <v>245</v>
      </c>
      <c r="E95" s="20" t="s">
        <v>39</v>
      </c>
      <c r="F95" s="87">
        <v>46212.0</v>
      </c>
      <c r="G95" s="87">
        <v>46215.0</v>
      </c>
      <c r="H95" s="20">
        <f t="shared" si="5"/>
        <v>3</v>
      </c>
      <c r="I95" s="107" t="s">
        <v>32</v>
      </c>
      <c r="J95" s="89">
        <f t="array" ref="J95">IFS($I95="Completo",100%,$I95="Não iniciado",0%,$I95="Em Progresso",50%)</f>
        <v>0</v>
      </c>
      <c r="K95" s="90" t="s">
        <v>246</v>
      </c>
      <c r="L95" s="4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DY95" s="91"/>
      <c r="DZ95" s="91"/>
      <c r="EA95" s="91"/>
      <c r="EB95" s="91"/>
      <c r="EC95" s="91"/>
      <c r="ED95" s="91"/>
      <c r="EE95" s="91"/>
      <c r="EF95" s="91"/>
      <c r="EG95" s="91"/>
      <c r="EH95" s="91"/>
      <c r="EI95" s="91"/>
      <c r="EJ95" s="91"/>
      <c r="EK95" s="91"/>
      <c r="EL95" s="91"/>
      <c r="EM95" s="91"/>
      <c r="EN95" s="91"/>
      <c r="EO95" s="91"/>
      <c r="EP95" s="91"/>
      <c r="EQ95" s="91"/>
      <c r="ER95" s="91"/>
      <c r="ES95" s="91"/>
      <c r="ET95" s="91"/>
      <c r="EU95" s="91"/>
      <c r="EV95" s="91"/>
      <c r="EW95" s="91"/>
      <c r="EX95" s="91"/>
      <c r="EY95" s="91"/>
      <c r="EZ95" s="91"/>
      <c r="FA95" s="91"/>
      <c r="FB95" s="91"/>
      <c r="FC95" s="91"/>
      <c r="FD95" s="91"/>
      <c r="FE95" s="91"/>
      <c r="FF95" s="91"/>
      <c r="FG95" s="91"/>
      <c r="FH95" s="91"/>
      <c r="FI95" s="91"/>
      <c r="FJ95" s="91"/>
      <c r="FK95" s="91"/>
      <c r="FL95" s="91"/>
      <c r="FM95" s="91"/>
      <c r="FN95" s="91"/>
      <c r="FO95" s="91"/>
      <c r="FP95" s="91"/>
      <c r="FQ95" s="91"/>
      <c r="FR95" s="91"/>
      <c r="FS95" s="91"/>
      <c r="FT95" s="91"/>
      <c r="FU95" s="91"/>
      <c r="FV95" s="91"/>
      <c r="FW95" s="91"/>
      <c r="FX95" s="91"/>
      <c r="FY95" s="91"/>
      <c r="FZ95" s="91"/>
      <c r="GA95" s="91"/>
      <c r="GB95" s="91"/>
      <c r="GC95" s="91"/>
      <c r="GD95" s="91"/>
      <c r="GE95" s="91"/>
      <c r="GF95" s="91"/>
      <c r="GG95" s="91"/>
      <c r="GH95" s="91"/>
      <c r="GI95" s="91"/>
      <c r="GJ95" s="91"/>
      <c r="GK95" s="91"/>
      <c r="GL95" s="91"/>
      <c r="GM95" s="91"/>
      <c r="GN95" s="91"/>
      <c r="GO95" s="91"/>
      <c r="GP95" s="91"/>
      <c r="GQ95" s="91"/>
      <c r="GR95" s="91"/>
      <c r="GS95" s="91"/>
      <c r="GT95" s="91"/>
      <c r="GU95" s="91"/>
      <c r="GV95" s="91"/>
      <c r="GW95" s="91"/>
      <c r="GX95" s="91"/>
      <c r="GY95" s="91"/>
      <c r="GZ95" s="91"/>
      <c r="HA95" s="91"/>
      <c r="HB95" s="91"/>
      <c r="HC95" s="91"/>
      <c r="HD95" s="91"/>
      <c r="HE95" s="91"/>
      <c r="HF95" s="91"/>
      <c r="HG95" s="91"/>
      <c r="HH95" s="91"/>
      <c r="HI95" s="91"/>
      <c r="HJ95" s="91"/>
      <c r="HK95" s="91"/>
      <c r="HL95" s="91"/>
      <c r="HM95" s="91"/>
      <c r="HN95" s="91"/>
      <c r="HO95" s="91"/>
      <c r="HP95" s="91"/>
      <c r="HQ95" s="91"/>
      <c r="HR95" s="91"/>
      <c r="HS95" s="91"/>
      <c r="HT95" s="91"/>
      <c r="HU95" s="91"/>
      <c r="HV95" s="91"/>
      <c r="HW95" s="91"/>
      <c r="HX95" s="91"/>
      <c r="HY95" s="91"/>
      <c r="HZ95" s="91"/>
      <c r="IA95" s="91"/>
      <c r="IB95" s="91"/>
      <c r="IC95" s="91"/>
      <c r="ID95" s="91"/>
      <c r="IE95" s="91"/>
      <c r="IF95" s="91"/>
      <c r="IG95" s="91"/>
      <c r="IH95" s="91"/>
    </row>
    <row r="96" ht="15.75" customHeight="1">
      <c r="A96" s="4"/>
      <c r="B96" s="4"/>
      <c r="C96" s="20" t="s">
        <v>247</v>
      </c>
      <c r="D96" s="7" t="s">
        <v>248</v>
      </c>
      <c r="E96" s="20" t="s">
        <v>84</v>
      </c>
      <c r="F96" s="87">
        <v>46216.0</v>
      </c>
      <c r="G96" s="87">
        <v>46217.0</v>
      </c>
      <c r="H96" s="20">
        <f t="shared" ref="H96:H100" si="6">NETWORKDAYS(F96,G96)</f>
        <v>2</v>
      </c>
      <c r="I96" s="107" t="s">
        <v>32</v>
      </c>
      <c r="J96" s="89">
        <f t="array" ref="J96">IFS($I96="Completo",100%,$I96="Não iniciado",0%,$I96="Em Progresso",50%)</f>
        <v>0</v>
      </c>
      <c r="K96" s="88" t="s">
        <v>249</v>
      </c>
      <c r="L96" s="4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DY96" s="91"/>
      <c r="DZ96" s="91"/>
      <c r="EA96" s="91"/>
      <c r="EB96" s="91"/>
      <c r="EC96" s="91"/>
      <c r="ED96" s="91"/>
      <c r="EE96" s="91"/>
      <c r="EF96" s="91"/>
      <c r="EG96" s="91"/>
      <c r="EH96" s="91"/>
      <c r="EI96" s="91"/>
      <c r="EJ96" s="91"/>
      <c r="EK96" s="91"/>
      <c r="EL96" s="91"/>
      <c r="EM96" s="91"/>
      <c r="EN96" s="91"/>
      <c r="EO96" s="91"/>
      <c r="EP96" s="91"/>
      <c r="EQ96" s="91"/>
      <c r="ER96" s="91"/>
      <c r="ES96" s="91"/>
      <c r="ET96" s="91"/>
      <c r="EU96" s="91"/>
      <c r="EV96" s="91"/>
      <c r="EW96" s="91"/>
      <c r="EX96" s="91"/>
      <c r="EY96" s="91"/>
      <c r="EZ96" s="91"/>
      <c r="FA96" s="91"/>
      <c r="FB96" s="91"/>
      <c r="FC96" s="91"/>
      <c r="FD96" s="91"/>
      <c r="FE96" s="91"/>
      <c r="FF96" s="91"/>
      <c r="FG96" s="91"/>
      <c r="FH96" s="91"/>
      <c r="FI96" s="91"/>
      <c r="FJ96" s="91"/>
      <c r="FK96" s="91"/>
      <c r="FL96" s="91"/>
      <c r="FM96" s="91"/>
      <c r="FN96" s="91"/>
      <c r="FO96" s="91"/>
      <c r="FP96" s="91"/>
      <c r="FQ96" s="91"/>
      <c r="FR96" s="91"/>
      <c r="FS96" s="91"/>
      <c r="FT96" s="91"/>
      <c r="FU96" s="91"/>
      <c r="FV96" s="91"/>
      <c r="FW96" s="91"/>
      <c r="FX96" s="91"/>
      <c r="FY96" s="91"/>
      <c r="FZ96" s="91"/>
      <c r="GA96" s="91"/>
      <c r="GB96" s="91"/>
      <c r="GC96" s="91"/>
      <c r="GD96" s="91"/>
      <c r="GE96" s="91"/>
      <c r="GF96" s="91"/>
      <c r="GG96" s="91"/>
      <c r="GH96" s="91"/>
      <c r="GI96" s="91"/>
      <c r="GJ96" s="91"/>
      <c r="GK96" s="91"/>
      <c r="GL96" s="91"/>
      <c r="GM96" s="91"/>
      <c r="GN96" s="91"/>
      <c r="GO96" s="91"/>
      <c r="GP96" s="91"/>
      <c r="GQ96" s="91"/>
      <c r="GR96" s="91"/>
      <c r="GS96" s="91"/>
      <c r="GT96" s="91"/>
      <c r="GU96" s="91"/>
      <c r="GV96" s="91"/>
      <c r="GW96" s="91"/>
      <c r="GX96" s="91"/>
      <c r="GY96" s="91"/>
      <c r="GZ96" s="91"/>
      <c r="HA96" s="91"/>
      <c r="HB96" s="91"/>
      <c r="HC96" s="91"/>
      <c r="HD96" s="91"/>
      <c r="HE96" s="91"/>
      <c r="HF96" s="91"/>
      <c r="HG96" s="91"/>
      <c r="HH96" s="91"/>
      <c r="HI96" s="91"/>
      <c r="HJ96" s="91"/>
      <c r="HK96" s="91"/>
      <c r="HL96" s="91"/>
      <c r="HM96" s="91"/>
      <c r="HN96" s="91"/>
      <c r="HO96" s="91"/>
      <c r="HP96" s="91"/>
      <c r="HQ96" s="91"/>
      <c r="HR96" s="91"/>
      <c r="HS96" s="91"/>
      <c r="HT96" s="91"/>
      <c r="HU96" s="91"/>
      <c r="HV96" s="91"/>
      <c r="HW96" s="91"/>
      <c r="HX96" s="91"/>
      <c r="HY96" s="91"/>
      <c r="HZ96" s="91"/>
      <c r="IA96" s="91"/>
      <c r="IB96" s="91"/>
      <c r="IC96" s="91"/>
      <c r="ID96" s="91"/>
      <c r="IE96" s="91"/>
      <c r="IF96" s="91"/>
      <c r="IG96" s="91"/>
      <c r="IH96" s="91"/>
    </row>
    <row r="97" ht="15.75" customHeight="1">
      <c r="A97" s="4"/>
      <c r="B97" s="4"/>
      <c r="C97" s="20" t="s">
        <v>250</v>
      </c>
      <c r="D97" s="7" t="s">
        <v>251</v>
      </c>
      <c r="E97" s="20" t="s">
        <v>84</v>
      </c>
      <c r="F97" s="87">
        <v>46213.0</v>
      </c>
      <c r="G97" s="87">
        <v>46216.0</v>
      </c>
      <c r="H97" s="20">
        <f t="shared" si="6"/>
        <v>2</v>
      </c>
      <c r="I97" s="107" t="s">
        <v>32</v>
      </c>
      <c r="J97" s="89">
        <f t="array" ref="J97">IFS($I97="Completo",100%,$I97="Não iniciado",0%,$I97="Em Progresso",50%)</f>
        <v>0</v>
      </c>
      <c r="K97" s="88" t="s">
        <v>252</v>
      </c>
      <c r="L97" s="4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DY97" s="91"/>
      <c r="DZ97" s="91"/>
      <c r="EA97" s="91"/>
      <c r="EB97" s="91"/>
      <c r="EC97" s="91"/>
      <c r="ED97" s="91"/>
      <c r="EE97" s="91"/>
      <c r="EF97" s="91"/>
      <c r="EG97" s="91"/>
      <c r="EH97" s="91"/>
      <c r="EI97" s="91"/>
      <c r="EJ97" s="91"/>
      <c r="EK97" s="91"/>
      <c r="EL97" s="91"/>
      <c r="EM97" s="91"/>
      <c r="EN97" s="91"/>
      <c r="EO97" s="91"/>
      <c r="EP97" s="91"/>
      <c r="EQ97" s="91"/>
      <c r="ER97" s="91"/>
      <c r="ES97" s="91"/>
      <c r="ET97" s="91"/>
      <c r="EU97" s="91"/>
      <c r="EV97" s="91"/>
      <c r="EW97" s="91"/>
      <c r="EX97" s="91"/>
      <c r="EY97" s="91"/>
      <c r="EZ97" s="91"/>
      <c r="FA97" s="91"/>
      <c r="FB97" s="91"/>
      <c r="FC97" s="91"/>
      <c r="FD97" s="91"/>
      <c r="FE97" s="91"/>
      <c r="FF97" s="91"/>
      <c r="FG97" s="91"/>
      <c r="FH97" s="91"/>
      <c r="FI97" s="91"/>
      <c r="FJ97" s="91"/>
      <c r="FK97" s="91"/>
      <c r="FL97" s="91"/>
      <c r="FM97" s="91"/>
      <c r="FN97" s="91"/>
      <c r="FO97" s="91"/>
      <c r="FP97" s="91"/>
      <c r="FQ97" s="91"/>
      <c r="FR97" s="91"/>
      <c r="FS97" s="91"/>
      <c r="FT97" s="91"/>
      <c r="FU97" s="91"/>
      <c r="FV97" s="91"/>
      <c r="FW97" s="91"/>
      <c r="FX97" s="91"/>
      <c r="FY97" s="91"/>
      <c r="FZ97" s="91"/>
      <c r="GA97" s="91"/>
      <c r="GB97" s="91"/>
      <c r="GC97" s="91"/>
      <c r="GD97" s="91"/>
      <c r="GE97" s="91"/>
      <c r="GF97" s="91"/>
      <c r="GG97" s="91"/>
      <c r="GH97" s="91"/>
      <c r="GI97" s="91"/>
      <c r="GJ97" s="91"/>
      <c r="GK97" s="91"/>
      <c r="GL97" s="91"/>
      <c r="GM97" s="91"/>
      <c r="GN97" s="91"/>
      <c r="GO97" s="91"/>
      <c r="GP97" s="91"/>
      <c r="GQ97" s="91"/>
      <c r="GR97" s="91"/>
      <c r="GS97" s="91"/>
      <c r="GT97" s="91"/>
      <c r="GU97" s="91"/>
      <c r="GV97" s="91"/>
      <c r="GW97" s="91"/>
      <c r="GX97" s="91"/>
      <c r="GY97" s="91"/>
      <c r="GZ97" s="91"/>
      <c r="HA97" s="91"/>
      <c r="HB97" s="91"/>
      <c r="HC97" s="91"/>
      <c r="HD97" s="91"/>
      <c r="HE97" s="91"/>
      <c r="HF97" s="91"/>
      <c r="HG97" s="91"/>
      <c r="HH97" s="91"/>
      <c r="HI97" s="91"/>
      <c r="HJ97" s="91"/>
      <c r="HK97" s="91"/>
      <c r="HL97" s="91"/>
      <c r="HM97" s="91"/>
      <c r="HN97" s="91"/>
      <c r="HO97" s="91"/>
      <c r="HP97" s="91"/>
      <c r="HQ97" s="91"/>
      <c r="HR97" s="91"/>
      <c r="HS97" s="91"/>
      <c r="HT97" s="91"/>
      <c r="HU97" s="91"/>
      <c r="HV97" s="91"/>
      <c r="HW97" s="91"/>
      <c r="HX97" s="91"/>
      <c r="HY97" s="91"/>
      <c r="HZ97" s="91"/>
      <c r="IA97" s="91"/>
      <c r="IB97" s="91"/>
      <c r="IC97" s="91"/>
      <c r="ID97" s="91"/>
      <c r="IE97" s="91"/>
      <c r="IF97" s="91"/>
      <c r="IG97" s="91"/>
      <c r="IH97" s="91"/>
    </row>
    <row r="98" ht="15.75" customHeight="1">
      <c r="A98" s="4"/>
      <c r="B98" s="4"/>
      <c r="C98" s="20" t="s">
        <v>253</v>
      </c>
      <c r="D98" s="7" t="s">
        <v>254</v>
      </c>
      <c r="E98" s="20" t="s">
        <v>84</v>
      </c>
      <c r="F98" s="87">
        <v>46213.0</v>
      </c>
      <c r="G98" s="87">
        <v>46217.0</v>
      </c>
      <c r="H98" s="20">
        <f t="shared" si="6"/>
        <v>3</v>
      </c>
      <c r="I98" s="107" t="s">
        <v>32</v>
      </c>
      <c r="J98" s="89">
        <f t="array" ref="J98">IFS($I98="Completo",100%,$I98="Não iniciado",0%,$I98="Em Progresso",50%)</f>
        <v>0</v>
      </c>
      <c r="K98" s="88" t="s">
        <v>255</v>
      </c>
      <c r="L98" s="4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1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  <c r="FU98" s="91"/>
      <c r="FV98" s="91"/>
      <c r="FW98" s="91"/>
      <c r="FX98" s="91"/>
      <c r="FY98" s="91"/>
      <c r="FZ98" s="91"/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1"/>
      <c r="GQ98" s="91"/>
      <c r="GR98" s="91"/>
      <c r="GS98" s="91"/>
      <c r="GT98" s="91"/>
      <c r="GU98" s="91"/>
      <c r="GV98" s="91"/>
      <c r="GW98" s="91"/>
      <c r="GX98" s="91"/>
      <c r="GY98" s="91"/>
      <c r="GZ98" s="91"/>
      <c r="HA98" s="91"/>
      <c r="HB98" s="91"/>
      <c r="HC98" s="91"/>
      <c r="HD98" s="91"/>
      <c r="HE98" s="91"/>
      <c r="HF98" s="91"/>
      <c r="HG98" s="91"/>
      <c r="HH98" s="91"/>
      <c r="HI98" s="91"/>
      <c r="HJ98" s="91"/>
      <c r="HK98" s="91"/>
      <c r="HL98" s="91"/>
      <c r="HM98" s="91"/>
      <c r="HN98" s="91"/>
      <c r="HO98" s="91"/>
      <c r="HP98" s="91"/>
      <c r="HQ98" s="91"/>
      <c r="HR98" s="91"/>
      <c r="HS98" s="91"/>
      <c r="HT98" s="91"/>
      <c r="HU98" s="91"/>
      <c r="HV98" s="91"/>
      <c r="HW98" s="91"/>
      <c r="HX98" s="91"/>
      <c r="HY98" s="91"/>
      <c r="HZ98" s="91"/>
      <c r="IA98" s="91"/>
      <c r="IB98" s="91"/>
      <c r="IC98" s="91"/>
      <c r="ID98" s="91"/>
      <c r="IE98" s="91"/>
      <c r="IF98" s="91"/>
      <c r="IG98" s="91"/>
      <c r="IH98" s="91"/>
    </row>
    <row r="99" ht="15.75" customHeight="1">
      <c r="A99" s="4"/>
      <c r="B99" s="4"/>
      <c r="C99" s="20" t="s">
        <v>256</v>
      </c>
      <c r="D99" s="7" t="s">
        <v>257</v>
      </c>
      <c r="E99" s="20" t="s">
        <v>84</v>
      </c>
      <c r="F99" s="108">
        <v>46215.0</v>
      </c>
      <c r="G99" s="87">
        <v>46217.0</v>
      </c>
      <c r="H99" s="20">
        <f t="shared" si="6"/>
        <v>2</v>
      </c>
      <c r="I99" s="107" t="s">
        <v>32</v>
      </c>
      <c r="J99" s="89">
        <f t="array" ref="J99">IFS($I99="Completo",100%,$I99="Não iniciado",0%,$I99="Em Progresso",50%)</f>
        <v>0</v>
      </c>
      <c r="K99" s="88" t="s">
        <v>258</v>
      </c>
      <c r="L99" s="4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1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  <c r="FU99" s="91"/>
      <c r="FV99" s="91"/>
      <c r="FW99" s="91"/>
      <c r="FX99" s="91"/>
      <c r="FY99" s="91"/>
      <c r="FZ99" s="91"/>
      <c r="GA99" s="91"/>
      <c r="GB99" s="91"/>
      <c r="GC99" s="91"/>
      <c r="GD99" s="91"/>
      <c r="GE99" s="91"/>
      <c r="GF99" s="91"/>
      <c r="GG99" s="91"/>
      <c r="GH99" s="91"/>
      <c r="GI99" s="91"/>
      <c r="GJ99" s="91"/>
      <c r="GK99" s="91"/>
      <c r="GL99" s="91"/>
      <c r="GM99" s="91"/>
      <c r="GN99" s="91"/>
      <c r="GO99" s="91"/>
      <c r="GP99" s="91"/>
      <c r="GQ99" s="91"/>
      <c r="GR99" s="91"/>
      <c r="GS99" s="91"/>
      <c r="GT99" s="91"/>
      <c r="GU99" s="91"/>
      <c r="GV99" s="91"/>
      <c r="GW99" s="91"/>
      <c r="GX99" s="91"/>
      <c r="GY99" s="91"/>
      <c r="GZ99" s="91"/>
      <c r="HA99" s="91"/>
      <c r="HB99" s="91"/>
      <c r="HC99" s="91"/>
      <c r="HD99" s="91"/>
      <c r="HE99" s="91"/>
      <c r="HF99" s="91"/>
      <c r="HG99" s="91"/>
      <c r="HH99" s="91"/>
      <c r="HI99" s="91"/>
      <c r="HJ99" s="91"/>
      <c r="HK99" s="91"/>
      <c r="HL99" s="91"/>
      <c r="HM99" s="91"/>
      <c r="HN99" s="91"/>
      <c r="HO99" s="91"/>
      <c r="HP99" s="91"/>
      <c r="HQ99" s="91"/>
      <c r="HR99" s="91"/>
      <c r="HS99" s="91"/>
      <c r="HT99" s="91"/>
      <c r="HU99" s="91"/>
      <c r="HV99" s="91"/>
      <c r="HW99" s="91"/>
      <c r="HX99" s="91"/>
      <c r="HY99" s="91"/>
      <c r="HZ99" s="91"/>
      <c r="IA99" s="91"/>
      <c r="IB99" s="91"/>
      <c r="IC99" s="91"/>
      <c r="ID99" s="91"/>
      <c r="IE99" s="91"/>
      <c r="IF99" s="91"/>
      <c r="IG99" s="91"/>
      <c r="IH99" s="91"/>
    </row>
    <row r="100" ht="15.75" customHeight="1">
      <c r="A100" s="4"/>
      <c r="B100" s="4"/>
      <c r="C100" s="20" t="s">
        <v>259</v>
      </c>
      <c r="D100" s="7" t="s">
        <v>260</v>
      </c>
      <c r="E100" s="20" t="s">
        <v>84</v>
      </c>
      <c r="F100" s="87">
        <v>46215.0</v>
      </c>
      <c r="G100" s="87">
        <v>46218.0</v>
      </c>
      <c r="H100" s="20">
        <f t="shared" si="6"/>
        <v>3</v>
      </c>
      <c r="I100" s="107" t="s">
        <v>32</v>
      </c>
      <c r="J100" s="89">
        <f t="array" ref="J100">IFS($I100="Completo",100%,$I100="Não iniciado",0%,$I100="Em Progresso",50%)</f>
        <v>0</v>
      </c>
      <c r="K100" s="88" t="s">
        <v>261</v>
      </c>
      <c r="L100" s="4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1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  <c r="FU100" s="91"/>
      <c r="FV100" s="91"/>
      <c r="FW100" s="91"/>
      <c r="FX100" s="91"/>
      <c r="FY100" s="91"/>
      <c r="FZ100" s="91"/>
      <c r="GA100" s="91"/>
      <c r="GB100" s="91"/>
      <c r="GC100" s="91"/>
      <c r="GD100" s="91"/>
      <c r="GE100" s="91"/>
      <c r="GF100" s="91"/>
      <c r="GG100" s="91"/>
      <c r="GH100" s="91"/>
      <c r="GI100" s="91"/>
      <c r="GJ100" s="91"/>
      <c r="GK100" s="91"/>
      <c r="GL100" s="91"/>
      <c r="GM100" s="91"/>
      <c r="GN100" s="91"/>
      <c r="GO100" s="91"/>
      <c r="GP100" s="91"/>
      <c r="GQ100" s="91"/>
      <c r="GR100" s="91"/>
      <c r="GS100" s="91"/>
      <c r="GT100" s="91"/>
      <c r="GU100" s="91"/>
      <c r="GV100" s="91"/>
      <c r="GW100" s="91"/>
      <c r="GX100" s="91"/>
      <c r="GY100" s="91"/>
      <c r="GZ100" s="91"/>
      <c r="HA100" s="91"/>
      <c r="HB100" s="91"/>
      <c r="HC100" s="91"/>
      <c r="HD100" s="91"/>
      <c r="HE100" s="91"/>
      <c r="HF100" s="91"/>
      <c r="HG100" s="91"/>
      <c r="HH100" s="91"/>
      <c r="HI100" s="91"/>
      <c r="HJ100" s="91"/>
      <c r="HK100" s="91"/>
      <c r="HL100" s="91"/>
      <c r="HM100" s="91"/>
      <c r="HN100" s="91"/>
      <c r="HO100" s="91"/>
      <c r="HP100" s="91"/>
      <c r="HQ100" s="91"/>
      <c r="HR100" s="91"/>
      <c r="HS100" s="91"/>
      <c r="HT100" s="91"/>
      <c r="HU100" s="91"/>
      <c r="HV100" s="91"/>
      <c r="HW100" s="91"/>
      <c r="HX100" s="91"/>
      <c r="HY100" s="91"/>
      <c r="HZ100" s="91"/>
      <c r="IA100" s="91"/>
      <c r="IB100" s="91"/>
      <c r="IC100" s="91"/>
      <c r="ID100" s="91"/>
      <c r="IE100" s="91"/>
      <c r="IF100" s="91"/>
      <c r="IG100" s="91"/>
      <c r="IH100" s="91"/>
    </row>
    <row r="101" ht="15.75" customHeight="1">
      <c r="A101" s="4"/>
      <c r="B101" s="4"/>
      <c r="C101" s="20" t="s">
        <v>262</v>
      </c>
      <c r="D101" s="7" t="s">
        <v>263</v>
      </c>
      <c r="E101" s="20" t="s">
        <v>39</v>
      </c>
      <c r="F101" s="87">
        <v>46220.0</v>
      </c>
      <c r="G101" s="87">
        <v>46222.0</v>
      </c>
      <c r="H101" s="20">
        <f t="shared" ref="H101:H104" si="7">G101-F101</f>
        <v>2</v>
      </c>
      <c r="I101" s="107" t="s">
        <v>32</v>
      </c>
      <c r="J101" s="89">
        <f t="array" ref="J101">IFS($I101="Completo",100%,$I101="Não iniciado",0%,$I101="Em Progresso",50%)</f>
        <v>0</v>
      </c>
      <c r="K101" s="90" t="s">
        <v>264</v>
      </c>
      <c r="L101" s="4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DY101" s="91"/>
      <c r="DZ101" s="91"/>
      <c r="EA101" s="91"/>
      <c r="EB101" s="91"/>
      <c r="EC101" s="91"/>
      <c r="ED101" s="91"/>
      <c r="EE101" s="91"/>
      <c r="EF101" s="91"/>
      <c r="EG101" s="91"/>
      <c r="EH101" s="91"/>
      <c r="EI101" s="91"/>
      <c r="EJ101" s="91"/>
      <c r="EK101" s="91"/>
      <c r="EL101" s="91"/>
      <c r="EM101" s="91"/>
      <c r="EN101" s="91"/>
      <c r="EO101" s="91"/>
      <c r="EP101" s="91"/>
      <c r="EQ101" s="91"/>
      <c r="ER101" s="91"/>
      <c r="ES101" s="91"/>
      <c r="ET101" s="91"/>
      <c r="EU101" s="91"/>
      <c r="EV101" s="91"/>
      <c r="EW101" s="91"/>
      <c r="EX101" s="91"/>
      <c r="EY101" s="91"/>
      <c r="EZ101" s="91"/>
      <c r="FA101" s="91"/>
      <c r="FB101" s="91"/>
      <c r="FC101" s="91"/>
      <c r="FD101" s="91"/>
      <c r="FE101" s="91"/>
      <c r="FF101" s="91"/>
      <c r="FG101" s="91"/>
      <c r="FH101" s="91"/>
      <c r="FI101" s="91"/>
      <c r="FJ101" s="91"/>
      <c r="FK101" s="91"/>
      <c r="FL101" s="91"/>
      <c r="FM101" s="91"/>
      <c r="FN101" s="91"/>
      <c r="FO101" s="91"/>
      <c r="FP101" s="91"/>
      <c r="FQ101" s="91"/>
      <c r="FR101" s="91"/>
      <c r="FS101" s="91"/>
      <c r="FT101" s="91"/>
      <c r="FU101" s="91"/>
      <c r="FV101" s="91"/>
      <c r="FW101" s="91"/>
      <c r="FX101" s="91"/>
      <c r="FY101" s="91"/>
      <c r="FZ101" s="91"/>
      <c r="GA101" s="91"/>
      <c r="GB101" s="91"/>
      <c r="GC101" s="91"/>
      <c r="GD101" s="91"/>
      <c r="GE101" s="91"/>
      <c r="GF101" s="91"/>
      <c r="GG101" s="91"/>
      <c r="GH101" s="91"/>
      <c r="GI101" s="91"/>
      <c r="GJ101" s="91"/>
      <c r="GK101" s="91"/>
      <c r="GL101" s="91"/>
      <c r="GM101" s="91"/>
      <c r="GN101" s="91"/>
      <c r="GO101" s="91"/>
      <c r="GP101" s="91"/>
      <c r="GQ101" s="91"/>
      <c r="GR101" s="91"/>
      <c r="GS101" s="91"/>
      <c r="GT101" s="91"/>
      <c r="GU101" s="91"/>
      <c r="GV101" s="91"/>
      <c r="GW101" s="91"/>
      <c r="GX101" s="91"/>
      <c r="GY101" s="91"/>
      <c r="GZ101" s="91"/>
      <c r="HA101" s="91"/>
      <c r="HB101" s="91"/>
      <c r="HC101" s="91"/>
      <c r="HD101" s="91"/>
      <c r="HE101" s="91"/>
      <c r="HF101" s="91"/>
      <c r="HG101" s="91"/>
      <c r="HH101" s="91"/>
      <c r="HI101" s="91"/>
      <c r="HJ101" s="91"/>
      <c r="HK101" s="91"/>
      <c r="HL101" s="91"/>
      <c r="HM101" s="91"/>
      <c r="HN101" s="91"/>
      <c r="HO101" s="91"/>
      <c r="HP101" s="91"/>
      <c r="HQ101" s="91"/>
      <c r="HR101" s="91"/>
      <c r="HS101" s="91"/>
      <c r="HT101" s="91"/>
      <c r="HU101" s="91"/>
      <c r="HV101" s="91"/>
      <c r="HW101" s="91"/>
      <c r="HX101" s="91"/>
      <c r="HY101" s="91"/>
      <c r="HZ101" s="91"/>
      <c r="IA101" s="91"/>
      <c r="IB101" s="91"/>
      <c r="IC101" s="91"/>
      <c r="ID101" s="91"/>
      <c r="IE101" s="91"/>
      <c r="IF101" s="91"/>
      <c r="IG101" s="91"/>
      <c r="IH101" s="91"/>
    </row>
    <row r="102" ht="15.75" customHeight="1">
      <c r="A102" s="4"/>
      <c r="B102" s="4"/>
      <c r="C102" s="20" t="s">
        <v>265</v>
      </c>
      <c r="D102" s="7" t="s">
        <v>266</v>
      </c>
      <c r="E102" s="20" t="s">
        <v>39</v>
      </c>
      <c r="F102" s="87">
        <v>46221.0</v>
      </c>
      <c r="G102" s="87">
        <v>46223.0</v>
      </c>
      <c r="H102" s="20">
        <f t="shared" si="7"/>
        <v>2</v>
      </c>
      <c r="I102" s="107" t="s">
        <v>32</v>
      </c>
      <c r="J102" s="89">
        <f t="array" ref="J102">IFS($I102="Completo",100%,$I102="Não iniciado",0%,$I102="Em Progresso",50%)</f>
        <v>0</v>
      </c>
      <c r="K102" s="90" t="s">
        <v>267</v>
      </c>
      <c r="L102" s="4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DY102" s="91"/>
      <c r="DZ102" s="91"/>
      <c r="EA102" s="91"/>
      <c r="EB102" s="91"/>
      <c r="EC102" s="91"/>
      <c r="ED102" s="91"/>
      <c r="EE102" s="91"/>
      <c r="EF102" s="91"/>
      <c r="EG102" s="91"/>
      <c r="EH102" s="91"/>
      <c r="EI102" s="91"/>
      <c r="EJ102" s="91"/>
      <c r="EK102" s="91"/>
      <c r="EL102" s="91"/>
      <c r="EM102" s="91"/>
      <c r="EN102" s="91"/>
      <c r="EO102" s="91"/>
      <c r="EP102" s="91"/>
      <c r="EQ102" s="91"/>
      <c r="ER102" s="91"/>
      <c r="ES102" s="91"/>
      <c r="ET102" s="91"/>
      <c r="EU102" s="91"/>
      <c r="EV102" s="91"/>
      <c r="EW102" s="91"/>
      <c r="EX102" s="91"/>
      <c r="EY102" s="91"/>
      <c r="EZ102" s="91"/>
      <c r="FA102" s="91"/>
      <c r="FB102" s="91"/>
      <c r="FC102" s="91"/>
      <c r="FD102" s="91"/>
      <c r="FE102" s="91"/>
      <c r="FF102" s="91"/>
      <c r="FG102" s="91"/>
      <c r="FH102" s="91"/>
      <c r="FI102" s="91"/>
      <c r="FJ102" s="91"/>
      <c r="FK102" s="91"/>
      <c r="FL102" s="91"/>
      <c r="FM102" s="91"/>
      <c r="FN102" s="91"/>
      <c r="FO102" s="91"/>
      <c r="FP102" s="91"/>
      <c r="FQ102" s="91"/>
      <c r="FR102" s="91"/>
      <c r="FS102" s="91"/>
      <c r="FT102" s="91"/>
      <c r="FU102" s="91"/>
      <c r="FV102" s="91"/>
      <c r="FW102" s="91"/>
      <c r="FX102" s="91"/>
      <c r="FY102" s="91"/>
      <c r="FZ102" s="91"/>
      <c r="GA102" s="91"/>
      <c r="GB102" s="91"/>
      <c r="GC102" s="91"/>
      <c r="GD102" s="91"/>
      <c r="GE102" s="91"/>
      <c r="GF102" s="91"/>
      <c r="GG102" s="91"/>
      <c r="GH102" s="91"/>
      <c r="GI102" s="91"/>
      <c r="GJ102" s="91"/>
      <c r="GK102" s="91"/>
      <c r="GL102" s="91"/>
      <c r="GM102" s="91"/>
      <c r="GN102" s="91"/>
      <c r="GO102" s="91"/>
      <c r="GP102" s="91"/>
      <c r="GQ102" s="91"/>
      <c r="GR102" s="91"/>
      <c r="GS102" s="91"/>
      <c r="GT102" s="91"/>
      <c r="GU102" s="91"/>
      <c r="GV102" s="91"/>
      <c r="GW102" s="91"/>
      <c r="GX102" s="91"/>
      <c r="GY102" s="91"/>
      <c r="GZ102" s="91"/>
      <c r="HA102" s="91"/>
      <c r="HB102" s="91"/>
      <c r="HC102" s="91"/>
      <c r="HD102" s="91"/>
      <c r="HE102" s="91"/>
      <c r="HF102" s="91"/>
      <c r="HG102" s="91"/>
      <c r="HH102" s="91"/>
      <c r="HI102" s="91"/>
      <c r="HJ102" s="91"/>
      <c r="HK102" s="91"/>
      <c r="HL102" s="91"/>
      <c r="HM102" s="91"/>
      <c r="HN102" s="91"/>
      <c r="HO102" s="91"/>
      <c r="HP102" s="91"/>
      <c r="HQ102" s="91"/>
      <c r="HR102" s="91"/>
      <c r="HS102" s="91"/>
      <c r="HT102" s="91"/>
      <c r="HU102" s="91"/>
      <c r="HV102" s="91"/>
      <c r="HW102" s="91"/>
      <c r="HX102" s="91"/>
      <c r="HY102" s="91"/>
      <c r="HZ102" s="91"/>
      <c r="IA102" s="91"/>
      <c r="IB102" s="91"/>
      <c r="IC102" s="91"/>
      <c r="ID102" s="91"/>
      <c r="IE102" s="91"/>
      <c r="IF102" s="91"/>
      <c r="IG102" s="91"/>
      <c r="IH102" s="91"/>
    </row>
    <row r="103" ht="15.75" customHeight="1">
      <c r="A103" s="4"/>
      <c r="B103" s="4"/>
      <c r="C103" s="20" t="s">
        <v>268</v>
      </c>
      <c r="D103" s="7" t="s">
        <v>269</v>
      </c>
      <c r="E103" s="20" t="s">
        <v>46</v>
      </c>
      <c r="F103" s="87">
        <v>46221.0</v>
      </c>
      <c r="G103" s="87">
        <v>46224.0</v>
      </c>
      <c r="H103" s="20">
        <f t="shared" si="7"/>
        <v>3</v>
      </c>
      <c r="I103" s="107" t="s">
        <v>32</v>
      </c>
      <c r="J103" s="89">
        <f t="array" ref="J103">IFS($I103="Completo",100%,$I103="Não iniciado",0%,$I103="Em Progresso",50%)</f>
        <v>0</v>
      </c>
      <c r="K103" s="90" t="s">
        <v>270</v>
      </c>
      <c r="L103" s="4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DY103" s="91"/>
      <c r="DZ103" s="91"/>
      <c r="EA103" s="91"/>
      <c r="EB103" s="91"/>
      <c r="EC103" s="91"/>
      <c r="ED103" s="91"/>
      <c r="EE103" s="91"/>
      <c r="EF103" s="91"/>
      <c r="EG103" s="91"/>
      <c r="EH103" s="91"/>
      <c r="EI103" s="91"/>
      <c r="EJ103" s="91"/>
      <c r="EK103" s="91"/>
      <c r="EL103" s="91"/>
      <c r="EM103" s="91"/>
      <c r="EN103" s="91"/>
      <c r="EO103" s="91"/>
      <c r="EP103" s="91"/>
      <c r="EQ103" s="91"/>
      <c r="ER103" s="91"/>
      <c r="ES103" s="91"/>
      <c r="ET103" s="91"/>
      <c r="EU103" s="91"/>
      <c r="EV103" s="91"/>
      <c r="EW103" s="91"/>
      <c r="EX103" s="91"/>
      <c r="EY103" s="91"/>
      <c r="EZ103" s="91"/>
      <c r="FA103" s="91"/>
      <c r="FB103" s="91"/>
      <c r="FC103" s="91"/>
      <c r="FD103" s="91"/>
      <c r="FE103" s="91"/>
      <c r="FF103" s="91"/>
      <c r="FG103" s="91"/>
      <c r="FH103" s="91"/>
      <c r="FI103" s="91"/>
      <c r="FJ103" s="91"/>
      <c r="FK103" s="91"/>
      <c r="FL103" s="91"/>
      <c r="FM103" s="91"/>
      <c r="FN103" s="91"/>
      <c r="FO103" s="91"/>
      <c r="FP103" s="91"/>
      <c r="FQ103" s="91"/>
      <c r="FR103" s="91"/>
      <c r="FS103" s="91"/>
      <c r="FT103" s="91"/>
      <c r="FU103" s="91"/>
      <c r="FV103" s="91"/>
      <c r="FW103" s="91"/>
      <c r="FX103" s="91"/>
      <c r="FY103" s="91"/>
      <c r="FZ103" s="91"/>
      <c r="GA103" s="91"/>
      <c r="GB103" s="91"/>
      <c r="GC103" s="91"/>
      <c r="GD103" s="91"/>
      <c r="GE103" s="91"/>
      <c r="GF103" s="91"/>
      <c r="GG103" s="91"/>
      <c r="GH103" s="91"/>
      <c r="GI103" s="91"/>
      <c r="GJ103" s="91"/>
      <c r="GK103" s="91"/>
      <c r="GL103" s="91"/>
      <c r="GM103" s="91"/>
      <c r="GN103" s="91"/>
      <c r="GO103" s="91"/>
      <c r="GP103" s="91"/>
      <c r="GQ103" s="91"/>
      <c r="GR103" s="91"/>
      <c r="GS103" s="91"/>
      <c r="GT103" s="91"/>
      <c r="GU103" s="91"/>
      <c r="GV103" s="91"/>
      <c r="GW103" s="91"/>
      <c r="GX103" s="91"/>
      <c r="GY103" s="91"/>
      <c r="GZ103" s="91"/>
      <c r="HA103" s="91"/>
      <c r="HB103" s="91"/>
      <c r="HC103" s="91"/>
      <c r="HD103" s="91"/>
      <c r="HE103" s="91"/>
      <c r="HF103" s="91"/>
      <c r="HG103" s="91"/>
      <c r="HH103" s="91"/>
      <c r="HI103" s="91"/>
      <c r="HJ103" s="91"/>
      <c r="HK103" s="91"/>
      <c r="HL103" s="91"/>
      <c r="HM103" s="91"/>
      <c r="HN103" s="91"/>
      <c r="HO103" s="91"/>
      <c r="HP103" s="91"/>
      <c r="HQ103" s="91"/>
      <c r="HR103" s="91"/>
      <c r="HS103" s="91"/>
      <c r="HT103" s="91"/>
      <c r="HU103" s="91"/>
      <c r="HV103" s="91"/>
      <c r="HW103" s="91"/>
      <c r="HX103" s="91"/>
      <c r="HY103" s="91"/>
      <c r="HZ103" s="91"/>
      <c r="IA103" s="91"/>
      <c r="IB103" s="91"/>
      <c r="IC103" s="91"/>
      <c r="ID103" s="91"/>
      <c r="IE103" s="91"/>
      <c r="IF103" s="91"/>
      <c r="IG103" s="91"/>
      <c r="IH103" s="91"/>
    </row>
    <row r="104" ht="15.75" customHeight="1">
      <c r="A104" s="4"/>
      <c r="B104" s="4"/>
      <c r="C104" s="20" t="s">
        <v>271</v>
      </c>
      <c r="D104" s="7" t="s">
        <v>272</v>
      </c>
      <c r="E104" s="20" t="s">
        <v>39</v>
      </c>
      <c r="F104" s="87">
        <v>46221.0</v>
      </c>
      <c r="G104" s="87">
        <v>46225.0</v>
      </c>
      <c r="H104" s="20">
        <f t="shared" si="7"/>
        <v>4</v>
      </c>
      <c r="I104" s="107" t="s">
        <v>32</v>
      </c>
      <c r="J104" s="89">
        <f t="array" ref="J104">IFS($I104="Completo",100%,$I104="Não iniciado",0%,$I104="Em Progresso",50%)</f>
        <v>0</v>
      </c>
      <c r="K104" s="90" t="s">
        <v>273</v>
      </c>
      <c r="L104" s="4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DY104" s="91"/>
      <c r="DZ104" s="91"/>
      <c r="EA104" s="91"/>
      <c r="EB104" s="91"/>
      <c r="EC104" s="91"/>
      <c r="ED104" s="91"/>
      <c r="EE104" s="91"/>
      <c r="EF104" s="91"/>
      <c r="EG104" s="91"/>
      <c r="EH104" s="91"/>
      <c r="EI104" s="91"/>
      <c r="EJ104" s="91"/>
      <c r="EK104" s="91"/>
      <c r="EL104" s="91"/>
      <c r="EM104" s="91"/>
      <c r="EN104" s="91"/>
      <c r="EO104" s="91"/>
      <c r="EP104" s="91"/>
      <c r="EQ104" s="91"/>
      <c r="ER104" s="91"/>
      <c r="ES104" s="91"/>
      <c r="ET104" s="91"/>
      <c r="EU104" s="91"/>
      <c r="EV104" s="91"/>
      <c r="EW104" s="91"/>
      <c r="EX104" s="91"/>
      <c r="EY104" s="91"/>
      <c r="EZ104" s="91"/>
      <c r="FA104" s="91"/>
      <c r="FB104" s="91"/>
      <c r="FC104" s="91"/>
      <c r="FD104" s="91"/>
      <c r="FE104" s="91"/>
      <c r="FF104" s="91"/>
      <c r="FG104" s="91"/>
      <c r="FH104" s="91"/>
      <c r="FI104" s="91"/>
      <c r="FJ104" s="91"/>
      <c r="FK104" s="91"/>
      <c r="FL104" s="91"/>
      <c r="FM104" s="91"/>
      <c r="FN104" s="91"/>
      <c r="FO104" s="91"/>
      <c r="FP104" s="91"/>
      <c r="FQ104" s="91"/>
      <c r="FR104" s="91"/>
      <c r="FS104" s="91"/>
      <c r="FT104" s="91"/>
      <c r="FU104" s="91"/>
      <c r="FV104" s="91"/>
      <c r="FW104" s="91"/>
      <c r="FX104" s="91"/>
      <c r="FY104" s="91"/>
      <c r="FZ104" s="91"/>
      <c r="GA104" s="91"/>
      <c r="GB104" s="91"/>
      <c r="GC104" s="91"/>
      <c r="GD104" s="91"/>
      <c r="GE104" s="91"/>
      <c r="GF104" s="91"/>
      <c r="GG104" s="91"/>
      <c r="GH104" s="91"/>
      <c r="GI104" s="91"/>
      <c r="GJ104" s="91"/>
      <c r="GK104" s="91"/>
      <c r="GL104" s="91"/>
      <c r="GM104" s="91"/>
      <c r="GN104" s="91"/>
      <c r="GO104" s="91"/>
      <c r="GP104" s="91"/>
      <c r="GQ104" s="91"/>
      <c r="GR104" s="91"/>
      <c r="GS104" s="91"/>
      <c r="GT104" s="91"/>
      <c r="GU104" s="91"/>
      <c r="GV104" s="91"/>
      <c r="GW104" s="91"/>
      <c r="GX104" s="91"/>
      <c r="GY104" s="91"/>
      <c r="GZ104" s="91"/>
      <c r="HA104" s="91"/>
      <c r="HB104" s="91"/>
      <c r="HC104" s="91"/>
      <c r="HD104" s="91"/>
      <c r="HE104" s="91"/>
      <c r="HF104" s="91"/>
      <c r="HG104" s="91"/>
      <c r="HH104" s="91"/>
      <c r="HI104" s="91"/>
      <c r="HJ104" s="91"/>
      <c r="HK104" s="91"/>
      <c r="HL104" s="91"/>
      <c r="HM104" s="91"/>
      <c r="HN104" s="91"/>
      <c r="HO104" s="91"/>
      <c r="HP104" s="91"/>
      <c r="HQ104" s="91"/>
      <c r="HR104" s="91"/>
      <c r="HS104" s="91"/>
      <c r="HT104" s="91"/>
      <c r="HU104" s="91"/>
      <c r="HV104" s="91"/>
      <c r="HW104" s="91"/>
      <c r="HX104" s="91"/>
      <c r="HY104" s="91"/>
      <c r="HZ104" s="91"/>
      <c r="IA104" s="91"/>
      <c r="IB104" s="91"/>
      <c r="IC104" s="91"/>
      <c r="ID104" s="91"/>
      <c r="IE104" s="91"/>
      <c r="IF104" s="91"/>
      <c r="IG104" s="91"/>
      <c r="IH104" s="91"/>
    </row>
    <row r="105" ht="27.0" customHeight="1">
      <c r="A105" s="4"/>
      <c r="B105" s="4"/>
      <c r="C105" s="94" t="s">
        <v>89</v>
      </c>
      <c r="D105" s="95" t="s">
        <v>90</v>
      </c>
      <c r="E105" s="94" t="s">
        <v>91</v>
      </c>
      <c r="F105" s="106">
        <v>46226.0</v>
      </c>
      <c r="G105" s="106">
        <v>46230.0</v>
      </c>
      <c r="H105" s="97">
        <f t="shared" ref="H105:H108" si="8">NETWORKDAYS(F105,G105)</f>
        <v>3</v>
      </c>
      <c r="I105" s="109" t="s">
        <v>32</v>
      </c>
      <c r="J105" s="99">
        <f t="array" ref="J105">IFS(I102="Completo",100%,I102="Não iniciado",0%,I102="Em Progresso",50%)</f>
        <v>0</v>
      </c>
      <c r="K105" s="94" t="s">
        <v>92</v>
      </c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DY105" s="91"/>
      <c r="DZ105" s="91"/>
      <c r="EA105" s="91"/>
      <c r="EB105" s="91"/>
      <c r="EC105" s="91"/>
      <c r="ED105" s="91"/>
      <c r="EE105" s="91"/>
      <c r="EF105" s="91"/>
      <c r="EG105" s="91"/>
      <c r="EH105" s="91"/>
      <c r="EI105" s="91"/>
      <c r="EJ105" s="91"/>
      <c r="EK105" s="91"/>
      <c r="EL105" s="91"/>
      <c r="EM105" s="91"/>
      <c r="EN105" s="91"/>
      <c r="EO105" s="91"/>
      <c r="EP105" s="91"/>
      <c r="EQ105" s="91"/>
      <c r="ER105" s="91"/>
      <c r="ES105" s="91"/>
      <c r="ET105" s="91"/>
      <c r="EU105" s="91"/>
      <c r="EV105" s="91"/>
      <c r="EW105" s="91"/>
      <c r="EX105" s="91"/>
      <c r="EY105" s="91"/>
      <c r="EZ105" s="91"/>
      <c r="FA105" s="91"/>
      <c r="FB105" s="91"/>
      <c r="FC105" s="91"/>
      <c r="FD105" s="91"/>
      <c r="FE105" s="91"/>
      <c r="FF105" s="91"/>
      <c r="FG105" s="91"/>
      <c r="FH105" s="91"/>
      <c r="FI105" s="91"/>
      <c r="FJ105" s="91"/>
      <c r="FK105" s="91"/>
      <c r="FL105" s="91"/>
      <c r="FM105" s="91"/>
      <c r="FN105" s="91"/>
      <c r="FO105" s="91"/>
      <c r="FP105" s="91"/>
      <c r="FQ105" s="91"/>
      <c r="FR105" s="91"/>
      <c r="FS105" s="91"/>
      <c r="FT105" s="91"/>
      <c r="FU105" s="91"/>
      <c r="FV105" s="91"/>
      <c r="FW105" s="91"/>
      <c r="FX105" s="91"/>
      <c r="FY105" s="91"/>
      <c r="FZ105" s="91"/>
      <c r="GA105" s="91"/>
      <c r="GB105" s="91"/>
      <c r="GC105" s="91"/>
      <c r="GD105" s="91"/>
      <c r="GE105" s="91"/>
      <c r="GF105" s="91"/>
      <c r="GG105" s="91"/>
      <c r="GH105" s="91"/>
      <c r="GI105" s="91"/>
      <c r="GJ105" s="91"/>
      <c r="GK105" s="91"/>
      <c r="GL105" s="91"/>
      <c r="GM105" s="91"/>
      <c r="GN105" s="91"/>
      <c r="GO105" s="91"/>
      <c r="GP105" s="91"/>
      <c r="GQ105" s="91"/>
      <c r="GR105" s="91"/>
      <c r="GS105" s="91"/>
      <c r="GT105" s="91"/>
      <c r="GU105" s="91"/>
      <c r="GV105" s="91"/>
      <c r="GW105" s="91"/>
      <c r="GX105" s="91"/>
      <c r="GY105" s="91"/>
      <c r="GZ105" s="91"/>
      <c r="HA105" s="91"/>
      <c r="HB105" s="91"/>
      <c r="HC105" s="91"/>
      <c r="HD105" s="91"/>
      <c r="HE105" s="91"/>
      <c r="HF105" s="91"/>
      <c r="HG105" s="91"/>
      <c r="HH105" s="91"/>
      <c r="HI105" s="91"/>
      <c r="HJ105" s="91"/>
      <c r="HK105" s="91"/>
      <c r="HL105" s="91"/>
      <c r="HM105" s="91"/>
      <c r="HN105" s="91"/>
      <c r="HO105" s="91"/>
      <c r="HP105" s="91"/>
      <c r="HQ105" s="91"/>
      <c r="HR105" s="91"/>
      <c r="HS105" s="91"/>
      <c r="HT105" s="91"/>
      <c r="HU105" s="91"/>
      <c r="HV105" s="91"/>
      <c r="HW105" s="91"/>
      <c r="HX105" s="91"/>
      <c r="HY105" s="91"/>
      <c r="HZ105" s="91"/>
      <c r="IA105" s="91"/>
      <c r="IB105" s="91"/>
      <c r="IC105" s="91"/>
      <c r="ID105" s="91"/>
      <c r="IE105" s="91"/>
      <c r="IF105" s="91"/>
      <c r="IG105" s="91"/>
      <c r="IH105" s="91"/>
    </row>
    <row r="106" ht="27.0" customHeight="1">
      <c r="A106" s="4"/>
      <c r="B106" s="4"/>
      <c r="C106" s="94" t="s">
        <v>93</v>
      </c>
      <c r="D106" s="95" t="s">
        <v>94</v>
      </c>
      <c r="E106" s="94" t="s">
        <v>95</v>
      </c>
      <c r="F106" s="106">
        <v>46231.0</v>
      </c>
      <c r="G106" s="106">
        <v>46237.0</v>
      </c>
      <c r="H106" s="97">
        <f t="shared" si="8"/>
        <v>5</v>
      </c>
      <c r="I106" s="109" t="s">
        <v>32</v>
      </c>
      <c r="J106" s="99">
        <f t="array" ref="J106">IFS(I103="Completo",100%,I103="Não iniciado",0%,I103="Em Progresso",50%)</f>
        <v>0</v>
      </c>
      <c r="K106" s="94" t="s">
        <v>89</v>
      </c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DY106" s="91"/>
      <c r="DZ106" s="91"/>
      <c r="EA106" s="91"/>
      <c r="EB106" s="91"/>
      <c r="EC106" s="91"/>
      <c r="ED106" s="91"/>
      <c r="EE106" s="91"/>
      <c r="EF106" s="91"/>
      <c r="EG106" s="91"/>
      <c r="EH106" s="91"/>
      <c r="EI106" s="91"/>
      <c r="EJ106" s="91"/>
      <c r="EK106" s="91"/>
      <c r="EL106" s="91"/>
      <c r="EM106" s="91"/>
      <c r="EN106" s="91"/>
      <c r="EO106" s="91"/>
      <c r="EP106" s="91"/>
      <c r="EQ106" s="91"/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91"/>
      <c r="FL106" s="91"/>
      <c r="FM106" s="91"/>
      <c r="FN106" s="91"/>
      <c r="FO106" s="91"/>
      <c r="FP106" s="91"/>
      <c r="FQ106" s="91"/>
      <c r="FR106" s="91"/>
      <c r="FS106" s="91"/>
      <c r="FT106" s="91"/>
      <c r="FU106" s="91"/>
      <c r="FV106" s="91"/>
      <c r="FW106" s="91"/>
      <c r="FX106" s="91"/>
      <c r="FY106" s="91"/>
      <c r="FZ106" s="91"/>
      <c r="GA106" s="91"/>
      <c r="GB106" s="91"/>
      <c r="GC106" s="91"/>
      <c r="GD106" s="91"/>
      <c r="GE106" s="91"/>
      <c r="GF106" s="91"/>
      <c r="GG106" s="91"/>
      <c r="GH106" s="91"/>
      <c r="GI106" s="91"/>
      <c r="GJ106" s="91"/>
      <c r="GK106" s="91"/>
      <c r="GL106" s="91"/>
      <c r="GM106" s="91"/>
      <c r="GN106" s="91"/>
      <c r="GO106" s="91"/>
      <c r="GP106" s="91"/>
      <c r="GQ106" s="91"/>
      <c r="GR106" s="91"/>
      <c r="GS106" s="91"/>
      <c r="GT106" s="91"/>
      <c r="GU106" s="91"/>
      <c r="GV106" s="91"/>
      <c r="GW106" s="91"/>
      <c r="GX106" s="91"/>
      <c r="GY106" s="91"/>
      <c r="GZ106" s="91"/>
      <c r="HA106" s="91"/>
      <c r="HB106" s="91"/>
      <c r="HC106" s="91"/>
      <c r="HD106" s="91"/>
      <c r="HE106" s="91"/>
      <c r="HF106" s="91"/>
      <c r="HG106" s="91"/>
      <c r="HH106" s="91"/>
      <c r="HI106" s="91"/>
      <c r="HJ106" s="91"/>
      <c r="HK106" s="91"/>
      <c r="HL106" s="91"/>
      <c r="HM106" s="91"/>
      <c r="HN106" s="91"/>
      <c r="HO106" s="91"/>
      <c r="HP106" s="91"/>
      <c r="HQ106" s="91"/>
      <c r="HR106" s="91"/>
      <c r="HS106" s="91"/>
      <c r="HT106" s="91"/>
      <c r="HU106" s="91"/>
      <c r="HV106" s="91"/>
      <c r="HW106" s="91"/>
      <c r="HX106" s="91"/>
      <c r="HY106" s="91"/>
      <c r="HZ106" s="91"/>
      <c r="IA106" s="91"/>
      <c r="IB106" s="91"/>
      <c r="IC106" s="91"/>
      <c r="ID106" s="91"/>
      <c r="IE106" s="91"/>
      <c r="IF106" s="91"/>
      <c r="IG106" s="91"/>
      <c r="IH106" s="91"/>
    </row>
    <row r="107" ht="27.0" customHeight="1">
      <c r="A107" s="4"/>
      <c r="B107" s="4"/>
      <c r="C107" s="94" t="s">
        <v>96</v>
      </c>
      <c r="D107" s="95" t="s">
        <v>97</v>
      </c>
      <c r="E107" s="94" t="s">
        <v>95</v>
      </c>
      <c r="F107" s="106">
        <v>46238.0</v>
      </c>
      <c r="G107" s="106">
        <v>46241.0</v>
      </c>
      <c r="H107" s="97">
        <f t="shared" si="8"/>
        <v>4</v>
      </c>
      <c r="I107" s="109" t="s">
        <v>32</v>
      </c>
      <c r="J107" s="99">
        <f t="array" ref="J107">IFS(I104="Completo",100%,I104="Não iniciado",0%,I104="Em Progresso",50%)</f>
        <v>0</v>
      </c>
      <c r="K107" s="94" t="s">
        <v>93</v>
      </c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DY107" s="91"/>
      <c r="DZ107" s="91"/>
      <c r="EA107" s="91"/>
      <c r="EB107" s="91"/>
      <c r="EC107" s="91"/>
      <c r="ED107" s="91"/>
      <c r="EE107" s="91"/>
      <c r="EF107" s="91"/>
      <c r="EG107" s="91"/>
      <c r="EH107" s="91"/>
      <c r="EI107" s="91"/>
      <c r="EJ107" s="91"/>
      <c r="EK107" s="91"/>
      <c r="EL107" s="91"/>
      <c r="EM107" s="91"/>
      <c r="EN107" s="91"/>
      <c r="EO107" s="91"/>
      <c r="EP107" s="91"/>
      <c r="EQ107" s="91"/>
      <c r="ER107" s="91"/>
      <c r="ES107" s="91"/>
      <c r="ET107" s="91"/>
      <c r="EU107" s="91"/>
      <c r="EV107" s="91"/>
      <c r="EW107" s="91"/>
      <c r="EX107" s="91"/>
      <c r="EY107" s="91"/>
      <c r="EZ107" s="91"/>
      <c r="FA107" s="91"/>
      <c r="FB107" s="91"/>
      <c r="FC107" s="91"/>
      <c r="FD107" s="91"/>
      <c r="FE107" s="91"/>
      <c r="FF107" s="91"/>
      <c r="FG107" s="91"/>
      <c r="FH107" s="91"/>
      <c r="FI107" s="91"/>
      <c r="FJ107" s="91"/>
      <c r="FK107" s="91"/>
      <c r="FL107" s="91"/>
      <c r="FM107" s="91"/>
      <c r="FN107" s="91"/>
      <c r="FO107" s="91"/>
      <c r="FP107" s="91"/>
      <c r="FQ107" s="91"/>
      <c r="FR107" s="91"/>
      <c r="FS107" s="91"/>
      <c r="FT107" s="91"/>
      <c r="FU107" s="91"/>
      <c r="FV107" s="91"/>
      <c r="FW107" s="91"/>
      <c r="FX107" s="91"/>
      <c r="FY107" s="91"/>
      <c r="FZ107" s="91"/>
      <c r="GA107" s="91"/>
      <c r="GB107" s="91"/>
      <c r="GC107" s="91"/>
      <c r="GD107" s="91"/>
      <c r="GE107" s="91"/>
      <c r="GF107" s="91"/>
      <c r="GG107" s="91"/>
      <c r="GH107" s="91"/>
      <c r="GI107" s="91"/>
      <c r="GJ107" s="91"/>
      <c r="GK107" s="91"/>
      <c r="GL107" s="91"/>
      <c r="GM107" s="91"/>
      <c r="GN107" s="91"/>
      <c r="GO107" s="91"/>
      <c r="GP107" s="91"/>
      <c r="GQ107" s="91"/>
      <c r="GR107" s="91"/>
      <c r="GS107" s="91"/>
      <c r="GT107" s="91"/>
      <c r="GU107" s="91"/>
      <c r="GV107" s="91"/>
      <c r="GW107" s="91"/>
      <c r="GX107" s="91"/>
      <c r="GY107" s="91"/>
      <c r="GZ107" s="91"/>
      <c r="HA107" s="91"/>
      <c r="HB107" s="91"/>
      <c r="HC107" s="91"/>
      <c r="HD107" s="91"/>
      <c r="HE107" s="91"/>
      <c r="HF107" s="91"/>
      <c r="HG107" s="91"/>
      <c r="HH107" s="91"/>
      <c r="HI107" s="91"/>
      <c r="HJ107" s="91"/>
      <c r="HK107" s="91"/>
      <c r="HL107" s="91"/>
      <c r="HM107" s="91"/>
      <c r="HN107" s="91"/>
      <c r="HO107" s="91"/>
      <c r="HP107" s="91"/>
      <c r="HQ107" s="91"/>
      <c r="HR107" s="91"/>
      <c r="HS107" s="91"/>
      <c r="HT107" s="91"/>
      <c r="HU107" s="91"/>
      <c r="HV107" s="91"/>
      <c r="HW107" s="91"/>
      <c r="HX107" s="91"/>
      <c r="HY107" s="91"/>
      <c r="HZ107" s="91"/>
      <c r="IA107" s="91"/>
      <c r="IB107" s="91"/>
      <c r="IC107" s="91"/>
      <c r="ID107" s="91"/>
      <c r="IE107" s="91"/>
      <c r="IF107" s="91"/>
      <c r="IG107" s="91"/>
      <c r="IH107" s="91"/>
    </row>
    <row r="108" ht="27.0" customHeight="1">
      <c r="A108" s="4"/>
      <c r="B108" s="4"/>
      <c r="C108" s="94" t="s">
        <v>98</v>
      </c>
      <c r="D108" s="95" t="s">
        <v>99</v>
      </c>
      <c r="E108" s="94" t="s">
        <v>91</v>
      </c>
      <c r="F108" s="106">
        <v>46242.0</v>
      </c>
      <c r="G108" s="106">
        <v>46246.0</v>
      </c>
      <c r="H108" s="97">
        <f t="shared" si="8"/>
        <v>3</v>
      </c>
      <c r="I108" s="109" t="s">
        <v>32</v>
      </c>
      <c r="J108" s="99">
        <f t="array" ref="J108">IFS(I105="Completo",100%,I105="Não iniciado",0%,I105="Em Progresso",50%)</f>
        <v>0</v>
      </c>
      <c r="K108" s="94" t="s">
        <v>96</v>
      </c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  <c r="FU108" s="91"/>
      <c r="FV108" s="91"/>
      <c r="FW108" s="91"/>
      <c r="FX108" s="91"/>
      <c r="FY108" s="91"/>
      <c r="FZ108" s="91"/>
      <c r="GA108" s="91"/>
      <c r="GB108" s="91"/>
      <c r="GC108" s="91"/>
      <c r="GD108" s="91"/>
      <c r="GE108" s="91"/>
      <c r="GF108" s="91"/>
      <c r="GG108" s="91"/>
      <c r="GH108" s="91"/>
      <c r="GI108" s="91"/>
      <c r="GJ108" s="91"/>
      <c r="GK108" s="91"/>
      <c r="GL108" s="91"/>
      <c r="GM108" s="91"/>
      <c r="GN108" s="91"/>
      <c r="GO108" s="91"/>
      <c r="GP108" s="91"/>
      <c r="GQ108" s="91"/>
      <c r="GR108" s="91"/>
      <c r="GS108" s="91"/>
      <c r="GT108" s="91"/>
      <c r="GU108" s="91"/>
      <c r="GV108" s="91"/>
      <c r="GW108" s="91"/>
      <c r="GX108" s="91"/>
      <c r="GY108" s="91"/>
      <c r="GZ108" s="91"/>
      <c r="HA108" s="91"/>
      <c r="HB108" s="91"/>
      <c r="HC108" s="91"/>
      <c r="HD108" s="91"/>
      <c r="HE108" s="91"/>
      <c r="HF108" s="91"/>
      <c r="HG108" s="91"/>
      <c r="HH108" s="91"/>
      <c r="HI108" s="91"/>
      <c r="HJ108" s="91"/>
      <c r="HK108" s="91"/>
      <c r="HL108" s="91"/>
      <c r="HM108" s="91"/>
      <c r="HN108" s="91"/>
      <c r="HO108" s="91"/>
      <c r="HP108" s="91"/>
      <c r="HQ108" s="91"/>
      <c r="HR108" s="91"/>
      <c r="HS108" s="91"/>
      <c r="HT108" s="91"/>
      <c r="HU108" s="91"/>
      <c r="HV108" s="91"/>
      <c r="HW108" s="91"/>
      <c r="HX108" s="91"/>
      <c r="HY108" s="91"/>
      <c r="HZ108" s="91"/>
      <c r="IA108" s="91"/>
      <c r="IB108" s="91"/>
      <c r="IC108" s="91"/>
      <c r="ID108" s="91"/>
      <c r="IE108" s="91"/>
      <c r="IF108" s="91"/>
      <c r="IG108" s="91"/>
      <c r="IH108" s="91"/>
    </row>
    <row r="109" ht="15.75" customHeight="1">
      <c r="A109" s="4"/>
      <c r="B109" s="4"/>
      <c r="C109" s="20" t="s">
        <v>274</v>
      </c>
      <c r="D109" s="7" t="s">
        <v>275</v>
      </c>
      <c r="E109" s="20" t="s">
        <v>39</v>
      </c>
      <c r="F109" s="87">
        <v>46247.0</v>
      </c>
      <c r="G109" s="87">
        <v>46248.0</v>
      </c>
      <c r="H109" s="20">
        <f t="shared" ref="H109:H112" si="9">G109-F109</f>
        <v>1</v>
      </c>
      <c r="I109" s="107" t="s">
        <v>32</v>
      </c>
      <c r="J109" s="89">
        <f t="array" ref="J109">IFS(I109="Completo",100%,I109="Não iniciado",0%,I109="Em Progresso",50%)</f>
        <v>0</v>
      </c>
      <c r="K109" s="90" t="s">
        <v>276</v>
      </c>
      <c r="L109" s="4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1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  <c r="FU109" s="91"/>
      <c r="FV109" s="91"/>
      <c r="FW109" s="91"/>
      <c r="FX109" s="91"/>
      <c r="FY109" s="91"/>
      <c r="FZ109" s="91"/>
      <c r="GA109" s="91"/>
      <c r="GB109" s="91"/>
      <c r="GC109" s="91"/>
      <c r="GD109" s="91"/>
      <c r="GE109" s="91"/>
      <c r="GF109" s="91"/>
      <c r="GG109" s="91"/>
      <c r="GH109" s="91"/>
      <c r="GI109" s="91"/>
      <c r="GJ109" s="91"/>
      <c r="GK109" s="91"/>
      <c r="GL109" s="91"/>
      <c r="GM109" s="91"/>
      <c r="GN109" s="91"/>
      <c r="GO109" s="91"/>
      <c r="GP109" s="91"/>
      <c r="GQ109" s="91"/>
      <c r="GR109" s="91"/>
      <c r="GS109" s="91"/>
      <c r="GT109" s="91"/>
      <c r="GU109" s="91"/>
      <c r="GV109" s="91"/>
      <c r="GW109" s="91"/>
      <c r="GX109" s="91"/>
      <c r="GY109" s="91"/>
      <c r="GZ109" s="91"/>
      <c r="HA109" s="91"/>
      <c r="HB109" s="91"/>
      <c r="HC109" s="91"/>
      <c r="HD109" s="91"/>
      <c r="HE109" s="91"/>
      <c r="HF109" s="91"/>
      <c r="HG109" s="91"/>
      <c r="HH109" s="91"/>
      <c r="HI109" s="91"/>
      <c r="HJ109" s="91"/>
      <c r="HK109" s="91"/>
      <c r="HL109" s="91"/>
      <c r="HM109" s="91"/>
      <c r="HN109" s="91"/>
      <c r="HO109" s="91"/>
      <c r="HP109" s="91"/>
      <c r="HQ109" s="91"/>
      <c r="HR109" s="91"/>
      <c r="HS109" s="91"/>
      <c r="HT109" s="91"/>
      <c r="HU109" s="91"/>
      <c r="HV109" s="91"/>
      <c r="HW109" s="91"/>
      <c r="HX109" s="91"/>
      <c r="HY109" s="91"/>
      <c r="HZ109" s="91"/>
      <c r="IA109" s="91"/>
      <c r="IB109" s="91"/>
      <c r="IC109" s="91"/>
      <c r="ID109" s="91"/>
      <c r="IE109" s="91"/>
      <c r="IF109" s="91"/>
      <c r="IG109" s="91"/>
      <c r="IH109" s="91"/>
    </row>
    <row r="110" ht="15.75" customHeight="1">
      <c r="A110" s="4"/>
      <c r="B110" s="4"/>
      <c r="C110" s="20" t="s">
        <v>277</v>
      </c>
      <c r="D110" s="7" t="s">
        <v>278</v>
      </c>
      <c r="E110" s="20" t="s">
        <v>39</v>
      </c>
      <c r="F110" s="87">
        <v>46247.0</v>
      </c>
      <c r="G110" s="87">
        <v>46250.0</v>
      </c>
      <c r="H110" s="20">
        <f t="shared" si="9"/>
        <v>3</v>
      </c>
      <c r="I110" s="107" t="s">
        <v>32</v>
      </c>
      <c r="J110" s="89">
        <f t="array" ref="J110">IFS(I110="Completo",100%,I110="Não iniciado",0%,I110="Em Progresso",50%)</f>
        <v>0</v>
      </c>
      <c r="K110" s="90" t="s">
        <v>279</v>
      </c>
      <c r="L110" s="4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91"/>
      <c r="EE110" s="91"/>
      <c r="EF110" s="91"/>
      <c r="EG110" s="91"/>
      <c r="EH110" s="91"/>
      <c r="EI110" s="91"/>
      <c r="EJ110" s="91"/>
      <c r="EK110" s="91"/>
      <c r="EL110" s="91"/>
      <c r="EM110" s="91"/>
      <c r="EN110" s="91"/>
      <c r="EO110" s="91"/>
      <c r="EP110" s="91"/>
      <c r="EQ110" s="91"/>
      <c r="ER110" s="91"/>
      <c r="ES110" s="91"/>
      <c r="ET110" s="91"/>
      <c r="EU110" s="91"/>
      <c r="EV110" s="91"/>
      <c r="EW110" s="91"/>
      <c r="EX110" s="91"/>
      <c r="EY110" s="91"/>
      <c r="EZ110" s="91"/>
      <c r="FA110" s="91"/>
      <c r="FB110" s="91"/>
      <c r="FC110" s="91"/>
      <c r="FD110" s="91"/>
      <c r="FE110" s="91"/>
      <c r="FF110" s="91"/>
      <c r="FG110" s="91"/>
      <c r="FH110" s="91"/>
      <c r="FI110" s="91"/>
      <c r="FJ110" s="91"/>
      <c r="FK110" s="91"/>
      <c r="FL110" s="91"/>
      <c r="FM110" s="91"/>
      <c r="FN110" s="91"/>
      <c r="FO110" s="91"/>
      <c r="FP110" s="91"/>
      <c r="FQ110" s="91"/>
      <c r="FR110" s="91"/>
      <c r="FS110" s="91"/>
      <c r="FT110" s="91"/>
      <c r="FU110" s="91"/>
      <c r="FV110" s="91"/>
      <c r="FW110" s="91"/>
      <c r="FX110" s="91"/>
      <c r="FY110" s="91"/>
      <c r="FZ110" s="91"/>
      <c r="GA110" s="91"/>
      <c r="GB110" s="91"/>
      <c r="GC110" s="91"/>
      <c r="GD110" s="91"/>
      <c r="GE110" s="91"/>
      <c r="GF110" s="91"/>
      <c r="GG110" s="91"/>
      <c r="GH110" s="91"/>
      <c r="GI110" s="91"/>
      <c r="GJ110" s="91"/>
      <c r="GK110" s="91"/>
      <c r="GL110" s="91"/>
      <c r="GM110" s="91"/>
      <c r="GN110" s="91"/>
      <c r="GO110" s="91"/>
      <c r="GP110" s="91"/>
      <c r="GQ110" s="91"/>
      <c r="GR110" s="91"/>
      <c r="GS110" s="91"/>
      <c r="GT110" s="91"/>
      <c r="GU110" s="91"/>
      <c r="GV110" s="91"/>
      <c r="GW110" s="91"/>
      <c r="GX110" s="91"/>
      <c r="GY110" s="91"/>
      <c r="GZ110" s="91"/>
      <c r="HA110" s="91"/>
      <c r="HB110" s="91"/>
      <c r="HC110" s="91"/>
      <c r="HD110" s="91"/>
      <c r="HE110" s="91"/>
      <c r="HF110" s="91"/>
      <c r="HG110" s="91"/>
      <c r="HH110" s="91"/>
      <c r="HI110" s="91"/>
      <c r="HJ110" s="91"/>
      <c r="HK110" s="91"/>
      <c r="HL110" s="91"/>
      <c r="HM110" s="91"/>
      <c r="HN110" s="91"/>
      <c r="HO110" s="91"/>
      <c r="HP110" s="91"/>
      <c r="HQ110" s="91"/>
      <c r="HR110" s="91"/>
      <c r="HS110" s="91"/>
      <c r="HT110" s="91"/>
      <c r="HU110" s="91"/>
      <c r="HV110" s="91"/>
      <c r="HW110" s="91"/>
      <c r="HX110" s="91"/>
      <c r="HY110" s="91"/>
      <c r="HZ110" s="91"/>
      <c r="IA110" s="91"/>
      <c r="IB110" s="91"/>
      <c r="IC110" s="91"/>
      <c r="ID110" s="91"/>
      <c r="IE110" s="91"/>
      <c r="IF110" s="91"/>
      <c r="IG110" s="91"/>
      <c r="IH110" s="91"/>
    </row>
    <row r="111" ht="15.75" customHeight="1">
      <c r="A111" s="4"/>
      <c r="B111" s="4"/>
      <c r="C111" s="20" t="s">
        <v>280</v>
      </c>
      <c r="D111" s="7" t="s">
        <v>281</v>
      </c>
      <c r="E111" s="20" t="s">
        <v>39</v>
      </c>
      <c r="F111" s="87">
        <v>46247.0</v>
      </c>
      <c r="G111" s="87">
        <v>46251.0</v>
      </c>
      <c r="H111" s="20">
        <f t="shared" si="9"/>
        <v>4</v>
      </c>
      <c r="I111" s="107" t="s">
        <v>32</v>
      </c>
      <c r="J111" s="89">
        <f t="array" ref="J111">IFS(I111="Completo",100%,I111="Não iniciado",0%,I111="Em Progresso",50%)</f>
        <v>0</v>
      </c>
      <c r="K111" s="90" t="s">
        <v>282</v>
      </c>
      <c r="L111" s="4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1"/>
      <c r="EU111" s="91"/>
      <c r="EV111" s="91"/>
      <c r="EW111" s="91"/>
      <c r="EX111" s="91"/>
      <c r="EY111" s="91"/>
      <c r="EZ111" s="91"/>
      <c r="FA111" s="91"/>
      <c r="FB111" s="91"/>
      <c r="FC111" s="91"/>
      <c r="FD111" s="91"/>
      <c r="FE111" s="91"/>
      <c r="FF111" s="91"/>
      <c r="FG111" s="91"/>
      <c r="FH111" s="91"/>
      <c r="FI111" s="91"/>
      <c r="FJ111" s="91"/>
      <c r="FK111" s="91"/>
      <c r="FL111" s="91"/>
      <c r="FM111" s="91"/>
      <c r="FN111" s="91"/>
      <c r="FO111" s="91"/>
      <c r="FP111" s="91"/>
      <c r="FQ111" s="91"/>
      <c r="FR111" s="91"/>
      <c r="FS111" s="91"/>
      <c r="FT111" s="91"/>
      <c r="FU111" s="91"/>
      <c r="FV111" s="91"/>
      <c r="FW111" s="91"/>
      <c r="FX111" s="91"/>
      <c r="FY111" s="91"/>
      <c r="FZ111" s="91"/>
      <c r="GA111" s="91"/>
      <c r="GB111" s="91"/>
      <c r="GC111" s="91"/>
      <c r="GD111" s="91"/>
      <c r="GE111" s="91"/>
      <c r="GF111" s="91"/>
      <c r="GG111" s="91"/>
      <c r="GH111" s="91"/>
      <c r="GI111" s="91"/>
      <c r="GJ111" s="91"/>
      <c r="GK111" s="91"/>
      <c r="GL111" s="91"/>
      <c r="GM111" s="91"/>
      <c r="GN111" s="91"/>
      <c r="GO111" s="91"/>
      <c r="GP111" s="91"/>
      <c r="GQ111" s="91"/>
      <c r="GR111" s="91"/>
      <c r="GS111" s="91"/>
      <c r="GT111" s="91"/>
      <c r="GU111" s="91"/>
      <c r="GV111" s="91"/>
      <c r="GW111" s="91"/>
      <c r="GX111" s="91"/>
      <c r="GY111" s="91"/>
      <c r="GZ111" s="91"/>
      <c r="HA111" s="91"/>
      <c r="HB111" s="91"/>
      <c r="HC111" s="91"/>
      <c r="HD111" s="91"/>
      <c r="HE111" s="91"/>
      <c r="HF111" s="91"/>
      <c r="HG111" s="91"/>
      <c r="HH111" s="91"/>
      <c r="HI111" s="91"/>
      <c r="HJ111" s="91"/>
      <c r="HK111" s="91"/>
      <c r="HL111" s="91"/>
      <c r="HM111" s="91"/>
      <c r="HN111" s="91"/>
      <c r="HO111" s="91"/>
      <c r="HP111" s="91"/>
      <c r="HQ111" s="91"/>
      <c r="HR111" s="91"/>
      <c r="HS111" s="91"/>
      <c r="HT111" s="91"/>
      <c r="HU111" s="91"/>
      <c r="HV111" s="91"/>
      <c r="HW111" s="91"/>
      <c r="HX111" s="91"/>
      <c r="HY111" s="91"/>
      <c r="HZ111" s="91"/>
      <c r="IA111" s="91"/>
      <c r="IB111" s="91"/>
      <c r="IC111" s="91"/>
      <c r="ID111" s="91"/>
      <c r="IE111" s="91"/>
      <c r="IF111" s="91"/>
      <c r="IG111" s="91"/>
      <c r="IH111" s="91"/>
    </row>
    <row r="112" ht="15.75" customHeight="1">
      <c r="A112" s="4"/>
      <c r="B112" s="4"/>
      <c r="C112" s="20" t="s">
        <v>283</v>
      </c>
      <c r="D112" s="7" t="s">
        <v>284</v>
      </c>
      <c r="E112" s="20" t="s">
        <v>46</v>
      </c>
      <c r="F112" s="87">
        <v>46247.0</v>
      </c>
      <c r="G112" s="87">
        <v>46250.0</v>
      </c>
      <c r="H112" s="20">
        <f t="shared" si="9"/>
        <v>3</v>
      </c>
      <c r="I112" s="107" t="s">
        <v>32</v>
      </c>
      <c r="J112" s="89">
        <f t="array" ref="J112">IFS(I112="Completo",100%,I112="Não iniciado",0%,I112="Em Progresso",50%)</f>
        <v>0</v>
      </c>
      <c r="K112" s="90" t="s">
        <v>285</v>
      </c>
      <c r="L112" s="4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91"/>
      <c r="EE112" s="91"/>
      <c r="EF112" s="91"/>
      <c r="EG112" s="91"/>
      <c r="EH112" s="91"/>
      <c r="EI112" s="91"/>
      <c r="EJ112" s="91"/>
      <c r="EK112" s="91"/>
      <c r="EL112" s="91"/>
      <c r="EM112" s="91"/>
      <c r="EN112" s="91"/>
      <c r="EO112" s="91"/>
      <c r="EP112" s="91"/>
      <c r="EQ112" s="91"/>
      <c r="ER112" s="91"/>
      <c r="ES112" s="91"/>
      <c r="ET112" s="91"/>
      <c r="EU112" s="91"/>
      <c r="EV112" s="91"/>
      <c r="EW112" s="91"/>
      <c r="EX112" s="91"/>
      <c r="EY112" s="91"/>
      <c r="EZ112" s="91"/>
      <c r="FA112" s="91"/>
      <c r="FB112" s="91"/>
      <c r="FC112" s="91"/>
      <c r="FD112" s="91"/>
      <c r="FE112" s="91"/>
      <c r="FF112" s="91"/>
      <c r="FG112" s="91"/>
      <c r="FH112" s="91"/>
      <c r="FI112" s="91"/>
      <c r="FJ112" s="91"/>
      <c r="FK112" s="91"/>
      <c r="FL112" s="91"/>
      <c r="FM112" s="91"/>
      <c r="FN112" s="91"/>
      <c r="FO112" s="91"/>
      <c r="FP112" s="91"/>
      <c r="FQ112" s="91"/>
      <c r="FR112" s="91"/>
      <c r="FS112" s="91"/>
      <c r="FT112" s="91"/>
      <c r="FU112" s="91"/>
      <c r="FV112" s="91"/>
      <c r="FW112" s="91"/>
      <c r="FX112" s="91"/>
      <c r="FY112" s="91"/>
      <c r="FZ112" s="91"/>
      <c r="GA112" s="91"/>
      <c r="GB112" s="91"/>
      <c r="GC112" s="91"/>
      <c r="GD112" s="91"/>
      <c r="GE112" s="91"/>
      <c r="GF112" s="91"/>
      <c r="GG112" s="91"/>
      <c r="GH112" s="91"/>
      <c r="GI112" s="91"/>
      <c r="GJ112" s="91"/>
      <c r="GK112" s="91"/>
      <c r="GL112" s="91"/>
      <c r="GM112" s="91"/>
      <c r="GN112" s="91"/>
      <c r="GO112" s="91"/>
      <c r="GP112" s="91"/>
      <c r="GQ112" s="91"/>
      <c r="GR112" s="91"/>
      <c r="GS112" s="91"/>
      <c r="GT112" s="91"/>
      <c r="GU112" s="91"/>
      <c r="GV112" s="91"/>
      <c r="GW112" s="91"/>
      <c r="GX112" s="91"/>
      <c r="GY112" s="91"/>
      <c r="GZ112" s="91"/>
      <c r="HA112" s="91"/>
      <c r="HB112" s="91"/>
      <c r="HC112" s="91"/>
      <c r="HD112" s="91"/>
      <c r="HE112" s="91"/>
      <c r="HF112" s="91"/>
      <c r="HG112" s="91"/>
      <c r="HH112" s="91"/>
      <c r="HI112" s="91"/>
      <c r="HJ112" s="91"/>
      <c r="HK112" s="91"/>
      <c r="HL112" s="91"/>
      <c r="HM112" s="91"/>
      <c r="HN112" s="91"/>
      <c r="HO112" s="91"/>
      <c r="HP112" s="91"/>
      <c r="HQ112" s="91"/>
      <c r="HR112" s="91"/>
      <c r="HS112" s="91"/>
      <c r="HT112" s="91"/>
      <c r="HU112" s="91"/>
      <c r="HV112" s="91"/>
      <c r="HW112" s="91"/>
      <c r="HX112" s="91"/>
      <c r="HY112" s="91"/>
      <c r="HZ112" s="91"/>
      <c r="IA112" s="91"/>
      <c r="IB112" s="91"/>
      <c r="IC112" s="91"/>
      <c r="ID112" s="91"/>
      <c r="IE112" s="91"/>
      <c r="IF112" s="91"/>
      <c r="IG112" s="91"/>
      <c r="IH112" s="91"/>
    </row>
    <row r="113" ht="15.75" customHeight="1">
      <c r="A113" s="4"/>
      <c r="B113" s="4"/>
      <c r="C113" s="20" t="s">
        <v>286</v>
      </c>
      <c r="D113" s="7" t="s">
        <v>287</v>
      </c>
      <c r="E113" s="20" t="s">
        <v>84</v>
      </c>
      <c r="F113" s="87">
        <v>46084.0</v>
      </c>
      <c r="G113" s="87">
        <v>46086.0</v>
      </c>
      <c r="H113" s="20">
        <f>NETWORKDAYS(F113,G113)</f>
        <v>3</v>
      </c>
      <c r="I113" s="107" t="s">
        <v>32</v>
      </c>
      <c r="J113" s="89">
        <f t="array" ref="J113">IFS(I113="Completo",100%,I113="Não iniciado",0%,I113="Em Progresso",50%)</f>
        <v>0</v>
      </c>
      <c r="K113" s="88" t="s">
        <v>288</v>
      </c>
      <c r="L113" s="4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  <c r="EN113" s="91"/>
      <c r="EO113" s="91"/>
      <c r="EP113" s="91"/>
      <c r="EQ113" s="91"/>
      <c r="ER113" s="91"/>
      <c r="ES113" s="91"/>
      <c r="ET113" s="91"/>
      <c r="EU113" s="91"/>
      <c r="EV113" s="91"/>
      <c r="EW113" s="91"/>
      <c r="EX113" s="91"/>
      <c r="EY113" s="91"/>
      <c r="EZ113" s="91"/>
      <c r="FA113" s="91"/>
      <c r="FB113" s="91"/>
      <c r="FC113" s="91"/>
      <c r="FD113" s="91"/>
      <c r="FE113" s="91"/>
      <c r="FF113" s="91"/>
      <c r="FG113" s="91"/>
      <c r="FH113" s="91"/>
      <c r="FI113" s="91"/>
      <c r="FJ113" s="91"/>
      <c r="FK113" s="91"/>
      <c r="FL113" s="91"/>
      <c r="FM113" s="91"/>
      <c r="FN113" s="91"/>
      <c r="FO113" s="91"/>
      <c r="FP113" s="91"/>
      <c r="FQ113" s="91"/>
      <c r="FR113" s="91"/>
      <c r="FS113" s="91"/>
      <c r="FT113" s="91"/>
      <c r="FU113" s="91"/>
      <c r="FV113" s="91"/>
      <c r="FW113" s="91"/>
      <c r="FX113" s="91"/>
      <c r="FY113" s="91"/>
      <c r="FZ113" s="91"/>
      <c r="GA113" s="91"/>
      <c r="GB113" s="91"/>
      <c r="GC113" s="91"/>
      <c r="GD113" s="91"/>
      <c r="GE113" s="91"/>
      <c r="GF113" s="91"/>
      <c r="GG113" s="91"/>
      <c r="GH113" s="91"/>
      <c r="GI113" s="91"/>
      <c r="GJ113" s="91"/>
      <c r="GK113" s="91"/>
      <c r="GL113" s="91"/>
      <c r="GM113" s="91"/>
      <c r="GN113" s="91"/>
      <c r="GO113" s="91"/>
      <c r="GP113" s="91"/>
      <c r="GQ113" s="91"/>
      <c r="GR113" s="91"/>
      <c r="GS113" s="91"/>
      <c r="GT113" s="91"/>
      <c r="GU113" s="91"/>
      <c r="GV113" s="91"/>
      <c r="GW113" s="91"/>
      <c r="GX113" s="91"/>
      <c r="GY113" s="91"/>
      <c r="GZ113" s="91"/>
      <c r="HA113" s="91"/>
      <c r="HB113" s="91"/>
      <c r="HC113" s="91"/>
      <c r="HD113" s="91"/>
      <c r="HE113" s="91"/>
      <c r="HF113" s="91"/>
      <c r="HG113" s="91"/>
      <c r="HH113" s="91"/>
      <c r="HI113" s="91"/>
      <c r="HJ113" s="91"/>
      <c r="HK113" s="91"/>
      <c r="HL113" s="91"/>
      <c r="HM113" s="91"/>
      <c r="HN113" s="91"/>
      <c r="HO113" s="91"/>
      <c r="HP113" s="91"/>
      <c r="HQ113" s="91"/>
      <c r="HR113" s="91"/>
      <c r="HS113" s="91"/>
      <c r="HT113" s="91"/>
      <c r="HU113" s="91"/>
      <c r="HV113" s="91"/>
      <c r="HW113" s="91"/>
      <c r="HX113" s="91"/>
      <c r="HY113" s="91"/>
      <c r="HZ113" s="91"/>
      <c r="IA113" s="91"/>
      <c r="IB113" s="91"/>
      <c r="IC113" s="91"/>
      <c r="ID113" s="91"/>
      <c r="IE113" s="91"/>
      <c r="IF113" s="91"/>
      <c r="IG113" s="91"/>
      <c r="IH113" s="91"/>
    </row>
    <row r="114" ht="15.75" customHeight="1">
      <c r="A114" s="4"/>
      <c r="B114" s="4"/>
      <c r="C114" s="5" t="s">
        <v>289</v>
      </c>
      <c r="D114" s="7" t="s">
        <v>290</v>
      </c>
      <c r="E114" s="5" t="s">
        <v>39</v>
      </c>
      <c r="F114" s="93">
        <v>46247.0</v>
      </c>
      <c r="G114" s="93">
        <v>46249.0</v>
      </c>
      <c r="H114" s="20">
        <f t="shared" ref="H114:H124" si="10">G114-F114</f>
        <v>2</v>
      </c>
      <c r="I114" s="107" t="s">
        <v>32</v>
      </c>
      <c r="J114" s="89">
        <f t="array" ref="J114">IFS(I114="Completo",100%,I114="Não iniciado",0%,I114="Em Progresso",50%)</f>
        <v>0</v>
      </c>
      <c r="K114" s="88" t="s">
        <v>291</v>
      </c>
      <c r="L114" s="4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  <c r="EN114" s="91"/>
      <c r="EO114" s="91"/>
      <c r="EP114" s="91"/>
      <c r="EQ114" s="91"/>
      <c r="ER114" s="91"/>
      <c r="ES114" s="91"/>
      <c r="ET114" s="91"/>
      <c r="EU114" s="91"/>
      <c r="EV114" s="91"/>
      <c r="EW114" s="91"/>
      <c r="EX114" s="91"/>
      <c r="EY114" s="91"/>
      <c r="EZ114" s="91"/>
      <c r="FA114" s="91"/>
      <c r="FB114" s="91"/>
      <c r="FC114" s="91"/>
      <c r="FD114" s="91"/>
      <c r="FE114" s="91"/>
      <c r="FF114" s="91"/>
      <c r="FG114" s="91"/>
      <c r="FH114" s="91"/>
      <c r="FI114" s="91"/>
      <c r="FJ114" s="91"/>
      <c r="FK114" s="91"/>
      <c r="FL114" s="91"/>
      <c r="FM114" s="91"/>
      <c r="FN114" s="91"/>
      <c r="FO114" s="91"/>
      <c r="FP114" s="91"/>
      <c r="FQ114" s="91"/>
      <c r="FR114" s="91"/>
      <c r="FS114" s="91"/>
      <c r="FT114" s="91"/>
      <c r="FU114" s="91"/>
      <c r="FV114" s="91"/>
      <c r="FW114" s="91"/>
      <c r="FX114" s="91"/>
      <c r="FY114" s="91"/>
      <c r="FZ114" s="91"/>
      <c r="GA114" s="91"/>
      <c r="GB114" s="91"/>
      <c r="GC114" s="91"/>
      <c r="GD114" s="91"/>
      <c r="GE114" s="91"/>
      <c r="GF114" s="91"/>
      <c r="GG114" s="91"/>
      <c r="GH114" s="91"/>
      <c r="GI114" s="91"/>
      <c r="GJ114" s="91"/>
      <c r="GK114" s="91"/>
      <c r="GL114" s="91"/>
      <c r="GM114" s="91"/>
      <c r="GN114" s="91"/>
      <c r="GO114" s="91"/>
      <c r="GP114" s="91"/>
      <c r="GQ114" s="91"/>
      <c r="GR114" s="91"/>
      <c r="GS114" s="91"/>
      <c r="GT114" s="91"/>
      <c r="GU114" s="91"/>
      <c r="GV114" s="91"/>
      <c r="GW114" s="91"/>
      <c r="GX114" s="91"/>
      <c r="GY114" s="91"/>
      <c r="GZ114" s="91"/>
      <c r="HA114" s="91"/>
      <c r="HB114" s="91"/>
      <c r="HC114" s="91"/>
      <c r="HD114" s="91"/>
      <c r="HE114" s="91"/>
      <c r="HF114" s="91"/>
      <c r="HG114" s="91"/>
      <c r="HH114" s="91"/>
      <c r="HI114" s="91"/>
      <c r="HJ114" s="91"/>
      <c r="HK114" s="91"/>
      <c r="HL114" s="91"/>
      <c r="HM114" s="91"/>
      <c r="HN114" s="91"/>
      <c r="HO114" s="91"/>
      <c r="HP114" s="91"/>
      <c r="HQ114" s="91"/>
      <c r="HR114" s="91"/>
      <c r="HS114" s="91"/>
      <c r="HT114" s="91"/>
      <c r="HU114" s="91"/>
      <c r="HV114" s="91"/>
      <c r="HW114" s="91"/>
      <c r="HX114" s="91"/>
      <c r="HY114" s="91"/>
      <c r="HZ114" s="91"/>
      <c r="IA114" s="91"/>
      <c r="IB114" s="91"/>
      <c r="IC114" s="91"/>
      <c r="ID114" s="91"/>
      <c r="IE114" s="91"/>
      <c r="IF114" s="91"/>
      <c r="IG114" s="91"/>
      <c r="IH114" s="91"/>
    </row>
    <row r="115" ht="15.75" customHeight="1">
      <c r="A115" s="4"/>
      <c r="B115" s="4"/>
      <c r="C115" s="5" t="s">
        <v>292</v>
      </c>
      <c r="D115" s="7" t="s">
        <v>293</v>
      </c>
      <c r="E115" s="5" t="s">
        <v>59</v>
      </c>
      <c r="F115" s="93">
        <v>46250.0</v>
      </c>
      <c r="G115" s="101">
        <v>46258.0</v>
      </c>
      <c r="H115" s="20">
        <f t="shared" si="10"/>
        <v>8</v>
      </c>
      <c r="I115" s="107" t="s">
        <v>32</v>
      </c>
      <c r="J115" s="89">
        <f t="array" ref="J115">IFS(I115="Completo",100%,I115="Não iniciado",0%,I115="Em Progresso",50%)</f>
        <v>0</v>
      </c>
      <c r="K115" s="88" t="s">
        <v>294</v>
      </c>
      <c r="L115" s="4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  <c r="EN115" s="91"/>
      <c r="EO115" s="91"/>
      <c r="EP115" s="91"/>
      <c r="EQ115" s="91"/>
      <c r="ER115" s="91"/>
      <c r="ES115" s="91"/>
      <c r="ET115" s="91"/>
      <c r="EU115" s="91"/>
      <c r="EV115" s="91"/>
      <c r="EW115" s="91"/>
      <c r="EX115" s="91"/>
      <c r="EY115" s="91"/>
      <c r="EZ115" s="91"/>
      <c r="FA115" s="91"/>
      <c r="FB115" s="91"/>
      <c r="FC115" s="91"/>
      <c r="FD115" s="91"/>
      <c r="FE115" s="91"/>
      <c r="FF115" s="91"/>
      <c r="FG115" s="91"/>
      <c r="FH115" s="91"/>
      <c r="FI115" s="91"/>
      <c r="FJ115" s="91"/>
      <c r="FK115" s="91"/>
      <c r="FL115" s="91"/>
      <c r="FM115" s="91"/>
      <c r="FN115" s="91"/>
      <c r="FO115" s="91"/>
      <c r="FP115" s="91"/>
      <c r="FQ115" s="91"/>
      <c r="FR115" s="91"/>
      <c r="FS115" s="91"/>
      <c r="FT115" s="91"/>
      <c r="FU115" s="91"/>
      <c r="FV115" s="91"/>
      <c r="FW115" s="91"/>
      <c r="FX115" s="91"/>
      <c r="FY115" s="91"/>
      <c r="FZ115" s="91"/>
      <c r="GA115" s="91"/>
      <c r="GB115" s="91"/>
      <c r="GC115" s="91"/>
      <c r="GD115" s="91"/>
      <c r="GE115" s="91"/>
      <c r="GF115" s="91"/>
      <c r="GG115" s="91"/>
      <c r="GH115" s="91"/>
      <c r="GI115" s="91"/>
      <c r="GJ115" s="91"/>
      <c r="GK115" s="91"/>
      <c r="GL115" s="91"/>
      <c r="GM115" s="91"/>
      <c r="GN115" s="91"/>
      <c r="GO115" s="91"/>
      <c r="GP115" s="91"/>
      <c r="GQ115" s="91"/>
      <c r="GR115" s="91"/>
      <c r="GS115" s="91"/>
      <c r="GT115" s="91"/>
      <c r="GU115" s="91"/>
      <c r="GV115" s="91"/>
      <c r="GW115" s="91"/>
      <c r="GX115" s="91"/>
      <c r="GY115" s="91"/>
      <c r="GZ115" s="91"/>
      <c r="HA115" s="91"/>
      <c r="HB115" s="91"/>
      <c r="HC115" s="91"/>
      <c r="HD115" s="91"/>
      <c r="HE115" s="91"/>
      <c r="HF115" s="91"/>
      <c r="HG115" s="91"/>
      <c r="HH115" s="91"/>
      <c r="HI115" s="91"/>
      <c r="HJ115" s="91"/>
      <c r="HK115" s="91"/>
      <c r="HL115" s="91"/>
      <c r="HM115" s="91"/>
      <c r="HN115" s="91"/>
      <c r="HO115" s="91"/>
      <c r="HP115" s="91"/>
      <c r="HQ115" s="91"/>
      <c r="HR115" s="91"/>
      <c r="HS115" s="91"/>
      <c r="HT115" s="91"/>
      <c r="HU115" s="91"/>
      <c r="HV115" s="91"/>
      <c r="HW115" s="91"/>
      <c r="HX115" s="91"/>
      <c r="HY115" s="91"/>
      <c r="HZ115" s="91"/>
      <c r="IA115" s="91"/>
      <c r="IB115" s="91"/>
      <c r="IC115" s="91"/>
      <c r="ID115" s="91"/>
      <c r="IE115" s="91"/>
      <c r="IF115" s="91"/>
      <c r="IG115" s="91"/>
      <c r="IH115" s="91"/>
    </row>
    <row r="116" ht="15.75" customHeight="1">
      <c r="A116" s="4"/>
      <c r="B116" s="4"/>
      <c r="C116" s="5" t="s">
        <v>295</v>
      </c>
      <c r="D116" s="7" t="s">
        <v>296</v>
      </c>
      <c r="E116" s="5" t="s">
        <v>59</v>
      </c>
      <c r="F116" s="93">
        <v>46248.0</v>
      </c>
      <c r="G116" s="93">
        <v>46250.0</v>
      </c>
      <c r="H116" s="20">
        <f t="shared" si="10"/>
        <v>2</v>
      </c>
      <c r="I116" s="107" t="s">
        <v>32</v>
      </c>
      <c r="J116" s="89">
        <f t="array" ref="J116">IFS(I116="Completo",100%,I116="Não iniciado",0%,I116="Em Progresso",50%)</f>
        <v>0</v>
      </c>
      <c r="K116" s="88" t="s">
        <v>297</v>
      </c>
      <c r="L116" s="4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  <c r="EN116" s="91"/>
      <c r="EO116" s="91"/>
      <c r="EP116" s="91"/>
      <c r="EQ116" s="91"/>
      <c r="ER116" s="91"/>
      <c r="ES116" s="91"/>
      <c r="ET116" s="91"/>
      <c r="EU116" s="91"/>
      <c r="EV116" s="91"/>
      <c r="EW116" s="91"/>
      <c r="EX116" s="91"/>
      <c r="EY116" s="91"/>
      <c r="EZ116" s="91"/>
      <c r="FA116" s="91"/>
      <c r="FB116" s="91"/>
      <c r="FC116" s="91"/>
      <c r="FD116" s="91"/>
      <c r="FE116" s="91"/>
      <c r="FF116" s="91"/>
      <c r="FG116" s="91"/>
      <c r="FH116" s="91"/>
      <c r="FI116" s="91"/>
      <c r="FJ116" s="91"/>
      <c r="FK116" s="91"/>
      <c r="FL116" s="91"/>
      <c r="FM116" s="91"/>
      <c r="FN116" s="91"/>
      <c r="FO116" s="91"/>
      <c r="FP116" s="91"/>
      <c r="FQ116" s="91"/>
      <c r="FR116" s="91"/>
      <c r="FS116" s="91"/>
      <c r="FT116" s="91"/>
      <c r="FU116" s="91"/>
      <c r="FV116" s="91"/>
      <c r="FW116" s="91"/>
      <c r="FX116" s="91"/>
      <c r="FY116" s="91"/>
      <c r="FZ116" s="91"/>
      <c r="GA116" s="91"/>
      <c r="GB116" s="91"/>
      <c r="GC116" s="91"/>
      <c r="GD116" s="91"/>
      <c r="GE116" s="91"/>
      <c r="GF116" s="91"/>
      <c r="GG116" s="91"/>
      <c r="GH116" s="91"/>
      <c r="GI116" s="91"/>
      <c r="GJ116" s="91"/>
      <c r="GK116" s="91"/>
      <c r="GL116" s="91"/>
      <c r="GM116" s="91"/>
      <c r="GN116" s="91"/>
      <c r="GO116" s="91"/>
      <c r="GP116" s="91"/>
      <c r="GQ116" s="91"/>
      <c r="GR116" s="91"/>
      <c r="GS116" s="91"/>
      <c r="GT116" s="91"/>
      <c r="GU116" s="91"/>
      <c r="GV116" s="91"/>
      <c r="GW116" s="91"/>
      <c r="GX116" s="91"/>
      <c r="GY116" s="91"/>
      <c r="GZ116" s="91"/>
      <c r="HA116" s="91"/>
      <c r="HB116" s="91"/>
      <c r="HC116" s="91"/>
      <c r="HD116" s="91"/>
      <c r="HE116" s="91"/>
      <c r="HF116" s="91"/>
      <c r="HG116" s="91"/>
      <c r="HH116" s="91"/>
      <c r="HI116" s="91"/>
      <c r="HJ116" s="91"/>
      <c r="HK116" s="91"/>
      <c r="HL116" s="91"/>
      <c r="HM116" s="91"/>
      <c r="HN116" s="91"/>
      <c r="HO116" s="91"/>
      <c r="HP116" s="91"/>
      <c r="HQ116" s="91"/>
      <c r="HR116" s="91"/>
      <c r="HS116" s="91"/>
      <c r="HT116" s="91"/>
      <c r="HU116" s="91"/>
      <c r="HV116" s="91"/>
      <c r="HW116" s="91"/>
      <c r="HX116" s="91"/>
      <c r="HY116" s="91"/>
      <c r="HZ116" s="91"/>
      <c r="IA116" s="91"/>
      <c r="IB116" s="91"/>
      <c r="IC116" s="91"/>
      <c r="ID116" s="91"/>
      <c r="IE116" s="91"/>
      <c r="IF116" s="91"/>
      <c r="IG116" s="91"/>
      <c r="IH116" s="91"/>
    </row>
    <row r="117" ht="15.75" customHeight="1">
      <c r="A117" s="4"/>
      <c r="B117" s="4"/>
      <c r="C117" s="5" t="s">
        <v>298</v>
      </c>
      <c r="D117" s="7" t="s">
        <v>299</v>
      </c>
      <c r="E117" s="5" t="s">
        <v>59</v>
      </c>
      <c r="F117" s="93">
        <v>46250.0</v>
      </c>
      <c r="G117" s="93">
        <v>46252.0</v>
      </c>
      <c r="H117" s="20">
        <f t="shared" si="10"/>
        <v>2</v>
      </c>
      <c r="I117" s="107" t="s">
        <v>32</v>
      </c>
      <c r="J117" s="89">
        <f t="array" ref="J117">IFS(I117="Completo",100%,I117="Não iniciado",0%,I117="Em Progresso",50%)</f>
        <v>0</v>
      </c>
      <c r="K117" s="88" t="s">
        <v>300</v>
      </c>
      <c r="L117" s="4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  <c r="EN117" s="91"/>
      <c r="EO117" s="91"/>
      <c r="EP117" s="91"/>
      <c r="EQ117" s="91"/>
      <c r="ER117" s="91"/>
      <c r="ES117" s="91"/>
      <c r="ET117" s="91"/>
      <c r="EU117" s="91"/>
      <c r="EV117" s="91"/>
      <c r="EW117" s="91"/>
      <c r="EX117" s="91"/>
      <c r="EY117" s="91"/>
      <c r="EZ117" s="91"/>
      <c r="FA117" s="91"/>
      <c r="FB117" s="91"/>
      <c r="FC117" s="91"/>
      <c r="FD117" s="91"/>
      <c r="FE117" s="91"/>
      <c r="FF117" s="91"/>
      <c r="FG117" s="91"/>
      <c r="FH117" s="91"/>
      <c r="FI117" s="91"/>
      <c r="FJ117" s="91"/>
      <c r="FK117" s="91"/>
      <c r="FL117" s="91"/>
      <c r="FM117" s="91"/>
      <c r="FN117" s="91"/>
      <c r="FO117" s="91"/>
      <c r="FP117" s="91"/>
      <c r="FQ117" s="91"/>
      <c r="FR117" s="91"/>
      <c r="FS117" s="91"/>
      <c r="FT117" s="91"/>
      <c r="FU117" s="91"/>
      <c r="FV117" s="91"/>
      <c r="FW117" s="91"/>
      <c r="FX117" s="91"/>
      <c r="FY117" s="91"/>
      <c r="FZ117" s="91"/>
      <c r="GA117" s="91"/>
      <c r="GB117" s="91"/>
      <c r="GC117" s="91"/>
      <c r="GD117" s="91"/>
      <c r="GE117" s="91"/>
      <c r="GF117" s="91"/>
      <c r="GG117" s="91"/>
      <c r="GH117" s="91"/>
      <c r="GI117" s="91"/>
      <c r="GJ117" s="91"/>
      <c r="GK117" s="91"/>
      <c r="GL117" s="91"/>
      <c r="GM117" s="91"/>
      <c r="GN117" s="91"/>
      <c r="GO117" s="91"/>
      <c r="GP117" s="91"/>
      <c r="GQ117" s="91"/>
      <c r="GR117" s="91"/>
      <c r="GS117" s="91"/>
      <c r="GT117" s="91"/>
      <c r="GU117" s="91"/>
      <c r="GV117" s="91"/>
      <c r="GW117" s="91"/>
      <c r="GX117" s="91"/>
      <c r="GY117" s="91"/>
      <c r="GZ117" s="91"/>
      <c r="HA117" s="91"/>
      <c r="HB117" s="91"/>
      <c r="HC117" s="91"/>
      <c r="HD117" s="91"/>
      <c r="HE117" s="91"/>
      <c r="HF117" s="91"/>
      <c r="HG117" s="91"/>
      <c r="HH117" s="91"/>
      <c r="HI117" s="91"/>
      <c r="HJ117" s="91"/>
      <c r="HK117" s="91"/>
      <c r="HL117" s="91"/>
      <c r="HM117" s="91"/>
      <c r="HN117" s="91"/>
      <c r="HO117" s="91"/>
      <c r="HP117" s="91"/>
      <c r="HQ117" s="91"/>
      <c r="HR117" s="91"/>
      <c r="HS117" s="91"/>
      <c r="HT117" s="91"/>
      <c r="HU117" s="91"/>
      <c r="HV117" s="91"/>
      <c r="HW117" s="91"/>
      <c r="HX117" s="91"/>
      <c r="HY117" s="91"/>
      <c r="HZ117" s="91"/>
      <c r="IA117" s="91"/>
      <c r="IB117" s="91"/>
      <c r="IC117" s="91"/>
      <c r="ID117" s="91"/>
      <c r="IE117" s="91"/>
      <c r="IF117" s="91"/>
      <c r="IG117" s="91"/>
      <c r="IH117" s="91"/>
    </row>
    <row r="118" ht="15.75" customHeight="1">
      <c r="A118" s="4"/>
      <c r="B118" s="4"/>
      <c r="C118" s="20" t="s">
        <v>301</v>
      </c>
      <c r="D118" s="7" t="s">
        <v>302</v>
      </c>
      <c r="E118" s="20" t="s">
        <v>39</v>
      </c>
      <c r="F118" s="87">
        <v>46252.0</v>
      </c>
      <c r="G118" s="87">
        <v>46254.0</v>
      </c>
      <c r="H118" s="20">
        <f t="shared" si="10"/>
        <v>2</v>
      </c>
      <c r="I118" s="107" t="s">
        <v>32</v>
      </c>
      <c r="J118" s="89">
        <f t="array" ref="J118">IFS(I118="Completo",100%,I118="Não iniciado",0%,I118="Em Progresso",50%)</f>
        <v>0</v>
      </c>
      <c r="K118" s="90" t="s">
        <v>303</v>
      </c>
      <c r="L118" s="4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  <c r="EN118" s="91"/>
      <c r="EO118" s="91"/>
      <c r="EP118" s="91"/>
      <c r="EQ118" s="91"/>
      <c r="ER118" s="91"/>
      <c r="ES118" s="91"/>
      <c r="ET118" s="91"/>
      <c r="EU118" s="91"/>
      <c r="EV118" s="91"/>
      <c r="EW118" s="91"/>
      <c r="EX118" s="91"/>
      <c r="EY118" s="91"/>
      <c r="EZ118" s="91"/>
      <c r="FA118" s="91"/>
      <c r="FB118" s="91"/>
      <c r="FC118" s="91"/>
      <c r="FD118" s="91"/>
      <c r="FE118" s="91"/>
      <c r="FF118" s="91"/>
      <c r="FG118" s="91"/>
      <c r="FH118" s="91"/>
      <c r="FI118" s="91"/>
      <c r="FJ118" s="91"/>
      <c r="FK118" s="91"/>
      <c r="FL118" s="91"/>
      <c r="FM118" s="91"/>
      <c r="FN118" s="91"/>
      <c r="FO118" s="91"/>
      <c r="FP118" s="91"/>
      <c r="FQ118" s="91"/>
      <c r="FR118" s="91"/>
      <c r="FS118" s="91"/>
      <c r="FT118" s="91"/>
      <c r="FU118" s="91"/>
      <c r="FV118" s="91"/>
      <c r="FW118" s="91"/>
      <c r="FX118" s="91"/>
      <c r="FY118" s="91"/>
      <c r="FZ118" s="91"/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91"/>
      <c r="GU118" s="91"/>
      <c r="GV118" s="91"/>
      <c r="GW118" s="91"/>
      <c r="GX118" s="91"/>
      <c r="GY118" s="91"/>
      <c r="GZ118" s="91"/>
      <c r="HA118" s="91"/>
      <c r="HB118" s="91"/>
      <c r="HC118" s="91"/>
      <c r="HD118" s="91"/>
      <c r="HE118" s="91"/>
      <c r="HF118" s="91"/>
      <c r="HG118" s="91"/>
      <c r="HH118" s="91"/>
      <c r="HI118" s="91"/>
      <c r="HJ118" s="91"/>
      <c r="HK118" s="91"/>
      <c r="HL118" s="91"/>
      <c r="HM118" s="91"/>
      <c r="HN118" s="91"/>
      <c r="HO118" s="91"/>
      <c r="HP118" s="91"/>
      <c r="HQ118" s="91"/>
      <c r="HR118" s="91"/>
      <c r="HS118" s="91"/>
      <c r="HT118" s="91"/>
      <c r="HU118" s="91"/>
      <c r="HV118" s="91"/>
      <c r="HW118" s="91"/>
      <c r="HX118" s="91"/>
      <c r="HY118" s="91"/>
      <c r="HZ118" s="91"/>
      <c r="IA118" s="91"/>
      <c r="IB118" s="91"/>
      <c r="IC118" s="91"/>
      <c r="ID118" s="91"/>
      <c r="IE118" s="91"/>
      <c r="IF118" s="91"/>
      <c r="IG118" s="91"/>
      <c r="IH118" s="91"/>
    </row>
    <row r="119" ht="15.75" customHeight="1">
      <c r="A119" s="4"/>
      <c r="B119" s="4"/>
      <c r="C119" s="5" t="s">
        <v>304</v>
      </c>
      <c r="D119" s="7" t="s">
        <v>305</v>
      </c>
      <c r="E119" s="5" t="s">
        <v>59</v>
      </c>
      <c r="F119" s="93">
        <v>46253.0</v>
      </c>
      <c r="G119" s="93">
        <v>46256.0</v>
      </c>
      <c r="H119" s="20">
        <f t="shared" si="10"/>
        <v>3</v>
      </c>
      <c r="I119" s="107" t="s">
        <v>32</v>
      </c>
      <c r="J119" s="89">
        <f t="array" ref="J119">IFS(I119="Completo",100%,I119="Não iniciado",0%,I119="Em Progresso",50%)</f>
        <v>0</v>
      </c>
      <c r="K119" s="88" t="s">
        <v>306</v>
      </c>
      <c r="L119" s="4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DY119" s="91"/>
      <c r="DZ119" s="91"/>
      <c r="EA119" s="91"/>
      <c r="EB119" s="91"/>
      <c r="EC119" s="91"/>
      <c r="ED119" s="91"/>
      <c r="EE119" s="91"/>
      <c r="EF119" s="91"/>
      <c r="EG119" s="91"/>
      <c r="EH119" s="91"/>
      <c r="EI119" s="91"/>
      <c r="EJ119" s="91"/>
      <c r="EK119" s="91"/>
      <c r="EL119" s="91"/>
      <c r="EM119" s="91"/>
      <c r="EN119" s="91"/>
      <c r="EO119" s="91"/>
      <c r="EP119" s="91"/>
      <c r="EQ119" s="91"/>
      <c r="ER119" s="91"/>
      <c r="ES119" s="91"/>
      <c r="ET119" s="91"/>
      <c r="EU119" s="91"/>
      <c r="EV119" s="91"/>
      <c r="EW119" s="91"/>
      <c r="EX119" s="91"/>
      <c r="EY119" s="91"/>
      <c r="EZ119" s="91"/>
      <c r="FA119" s="91"/>
      <c r="FB119" s="91"/>
      <c r="FC119" s="91"/>
      <c r="FD119" s="91"/>
      <c r="FE119" s="91"/>
      <c r="FF119" s="91"/>
      <c r="FG119" s="91"/>
      <c r="FH119" s="91"/>
      <c r="FI119" s="91"/>
      <c r="FJ119" s="91"/>
      <c r="FK119" s="91"/>
      <c r="FL119" s="91"/>
      <c r="FM119" s="91"/>
      <c r="FN119" s="91"/>
      <c r="FO119" s="91"/>
      <c r="FP119" s="91"/>
      <c r="FQ119" s="91"/>
      <c r="FR119" s="91"/>
      <c r="FS119" s="91"/>
      <c r="FT119" s="91"/>
      <c r="FU119" s="91"/>
      <c r="FV119" s="91"/>
      <c r="FW119" s="91"/>
      <c r="FX119" s="91"/>
      <c r="FY119" s="91"/>
      <c r="FZ119" s="91"/>
      <c r="GA119" s="91"/>
      <c r="GB119" s="91"/>
      <c r="GC119" s="91"/>
      <c r="GD119" s="91"/>
      <c r="GE119" s="91"/>
      <c r="GF119" s="91"/>
      <c r="GG119" s="91"/>
      <c r="GH119" s="91"/>
      <c r="GI119" s="91"/>
      <c r="GJ119" s="91"/>
      <c r="GK119" s="91"/>
      <c r="GL119" s="91"/>
      <c r="GM119" s="91"/>
      <c r="GN119" s="91"/>
      <c r="GO119" s="91"/>
      <c r="GP119" s="91"/>
      <c r="GQ119" s="91"/>
      <c r="GR119" s="91"/>
      <c r="GS119" s="91"/>
      <c r="GT119" s="91"/>
      <c r="GU119" s="91"/>
      <c r="GV119" s="91"/>
      <c r="GW119" s="91"/>
      <c r="GX119" s="91"/>
      <c r="GY119" s="91"/>
      <c r="GZ119" s="91"/>
      <c r="HA119" s="91"/>
      <c r="HB119" s="91"/>
      <c r="HC119" s="91"/>
      <c r="HD119" s="91"/>
      <c r="HE119" s="91"/>
      <c r="HF119" s="91"/>
      <c r="HG119" s="91"/>
      <c r="HH119" s="91"/>
      <c r="HI119" s="91"/>
      <c r="HJ119" s="91"/>
      <c r="HK119" s="91"/>
      <c r="HL119" s="91"/>
      <c r="HM119" s="91"/>
      <c r="HN119" s="91"/>
      <c r="HO119" s="91"/>
      <c r="HP119" s="91"/>
      <c r="HQ119" s="91"/>
      <c r="HR119" s="91"/>
      <c r="HS119" s="91"/>
      <c r="HT119" s="91"/>
      <c r="HU119" s="91"/>
      <c r="HV119" s="91"/>
      <c r="HW119" s="91"/>
      <c r="HX119" s="91"/>
      <c r="HY119" s="91"/>
      <c r="HZ119" s="91"/>
      <c r="IA119" s="91"/>
      <c r="IB119" s="91"/>
      <c r="IC119" s="91"/>
      <c r="ID119" s="91"/>
      <c r="IE119" s="91"/>
      <c r="IF119" s="91"/>
      <c r="IG119" s="91"/>
      <c r="IH119" s="91"/>
    </row>
    <row r="120" ht="15.75" customHeight="1">
      <c r="A120" s="4"/>
      <c r="B120" s="4"/>
      <c r="C120" s="20" t="s">
        <v>307</v>
      </c>
      <c r="D120" s="7" t="s">
        <v>308</v>
      </c>
      <c r="E120" s="20" t="s">
        <v>39</v>
      </c>
      <c r="F120" s="87">
        <v>46256.0</v>
      </c>
      <c r="G120" s="87">
        <v>46260.0</v>
      </c>
      <c r="H120" s="20">
        <f t="shared" si="10"/>
        <v>4</v>
      </c>
      <c r="I120" s="107" t="s">
        <v>32</v>
      </c>
      <c r="J120" s="89">
        <f t="array" ref="J120">IFS(I120="Completo",100%,I120="Não iniciado",0%,I120="Em Progresso",50%)</f>
        <v>0</v>
      </c>
      <c r="K120" s="88" t="s">
        <v>309</v>
      </c>
      <c r="L120" s="4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DY120" s="91"/>
      <c r="DZ120" s="91"/>
      <c r="EA120" s="91"/>
      <c r="EB120" s="91"/>
      <c r="EC120" s="91"/>
      <c r="ED120" s="91"/>
      <c r="EE120" s="91"/>
      <c r="EF120" s="91"/>
      <c r="EG120" s="91"/>
      <c r="EH120" s="91"/>
      <c r="EI120" s="91"/>
      <c r="EJ120" s="91"/>
      <c r="EK120" s="91"/>
      <c r="EL120" s="91"/>
      <c r="EM120" s="91"/>
      <c r="EN120" s="91"/>
      <c r="EO120" s="91"/>
      <c r="EP120" s="91"/>
      <c r="EQ120" s="91"/>
      <c r="ER120" s="91"/>
      <c r="ES120" s="91"/>
      <c r="ET120" s="91"/>
      <c r="EU120" s="91"/>
      <c r="EV120" s="91"/>
      <c r="EW120" s="91"/>
      <c r="EX120" s="91"/>
      <c r="EY120" s="91"/>
      <c r="EZ120" s="91"/>
      <c r="FA120" s="91"/>
      <c r="FB120" s="91"/>
      <c r="FC120" s="91"/>
      <c r="FD120" s="91"/>
      <c r="FE120" s="91"/>
      <c r="FF120" s="91"/>
      <c r="FG120" s="91"/>
      <c r="FH120" s="91"/>
      <c r="FI120" s="91"/>
      <c r="FJ120" s="91"/>
      <c r="FK120" s="91"/>
      <c r="FL120" s="91"/>
      <c r="FM120" s="91"/>
      <c r="FN120" s="91"/>
      <c r="FO120" s="91"/>
      <c r="FP120" s="91"/>
      <c r="FQ120" s="91"/>
      <c r="FR120" s="91"/>
      <c r="FS120" s="91"/>
      <c r="FT120" s="91"/>
      <c r="FU120" s="91"/>
      <c r="FV120" s="91"/>
      <c r="FW120" s="91"/>
      <c r="FX120" s="91"/>
      <c r="FY120" s="91"/>
      <c r="FZ120" s="91"/>
      <c r="GA120" s="91"/>
      <c r="GB120" s="91"/>
      <c r="GC120" s="91"/>
      <c r="GD120" s="91"/>
      <c r="GE120" s="91"/>
      <c r="GF120" s="91"/>
      <c r="GG120" s="91"/>
      <c r="GH120" s="91"/>
      <c r="GI120" s="91"/>
      <c r="GJ120" s="91"/>
      <c r="GK120" s="91"/>
      <c r="GL120" s="91"/>
      <c r="GM120" s="91"/>
      <c r="GN120" s="91"/>
      <c r="GO120" s="91"/>
      <c r="GP120" s="91"/>
      <c r="GQ120" s="91"/>
      <c r="GR120" s="91"/>
      <c r="GS120" s="91"/>
      <c r="GT120" s="91"/>
      <c r="GU120" s="91"/>
      <c r="GV120" s="91"/>
      <c r="GW120" s="91"/>
      <c r="GX120" s="91"/>
      <c r="GY120" s="91"/>
      <c r="GZ120" s="91"/>
      <c r="HA120" s="91"/>
      <c r="HB120" s="91"/>
      <c r="HC120" s="91"/>
      <c r="HD120" s="91"/>
      <c r="HE120" s="91"/>
      <c r="HF120" s="91"/>
      <c r="HG120" s="91"/>
      <c r="HH120" s="91"/>
      <c r="HI120" s="91"/>
      <c r="HJ120" s="91"/>
      <c r="HK120" s="91"/>
      <c r="HL120" s="91"/>
      <c r="HM120" s="91"/>
      <c r="HN120" s="91"/>
      <c r="HO120" s="91"/>
      <c r="HP120" s="91"/>
      <c r="HQ120" s="91"/>
      <c r="HR120" s="91"/>
      <c r="HS120" s="91"/>
      <c r="HT120" s="91"/>
      <c r="HU120" s="91"/>
      <c r="HV120" s="91"/>
      <c r="HW120" s="91"/>
      <c r="HX120" s="91"/>
      <c r="HY120" s="91"/>
      <c r="HZ120" s="91"/>
      <c r="IA120" s="91"/>
      <c r="IB120" s="91"/>
      <c r="IC120" s="91"/>
      <c r="ID120" s="91"/>
      <c r="IE120" s="91"/>
      <c r="IF120" s="91"/>
      <c r="IG120" s="91"/>
      <c r="IH120" s="91"/>
    </row>
    <row r="121" ht="27.0" customHeight="1">
      <c r="A121" s="4"/>
      <c r="B121" s="4"/>
      <c r="C121" s="94" t="s">
        <v>89</v>
      </c>
      <c r="D121" s="95" t="s">
        <v>90</v>
      </c>
      <c r="E121" s="94" t="s">
        <v>91</v>
      </c>
      <c r="F121" s="106">
        <v>46261.0</v>
      </c>
      <c r="G121" s="106">
        <v>46268.0</v>
      </c>
      <c r="H121" s="97">
        <f t="shared" si="10"/>
        <v>7</v>
      </c>
      <c r="I121" s="109" t="s">
        <v>32</v>
      </c>
      <c r="J121" s="110">
        <f t="array" ref="J121">IFS(I114="Completo",100%,I114="Não iniciado",0%,I114="Em Progresso",50%)</f>
        <v>0</v>
      </c>
      <c r="K121" s="94" t="s">
        <v>92</v>
      </c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DY121" s="91"/>
      <c r="DZ121" s="91"/>
      <c r="EA121" s="91"/>
      <c r="EB121" s="91"/>
      <c r="EC121" s="91"/>
      <c r="ED121" s="91"/>
      <c r="EE121" s="91"/>
      <c r="EF121" s="91"/>
      <c r="EG121" s="91"/>
      <c r="EH121" s="91"/>
      <c r="EI121" s="91"/>
      <c r="EJ121" s="91"/>
      <c r="EK121" s="91"/>
      <c r="EL121" s="91"/>
      <c r="EM121" s="91"/>
      <c r="EN121" s="91"/>
      <c r="EO121" s="91"/>
      <c r="EP121" s="91"/>
      <c r="EQ121" s="91"/>
      <c r="ER121" s="91"/>
      <c r="ES121" s="91"/>
      <c r="ET121" s="91"/>
      <c r="EU121" s="91"/>
      <c r="EV121" s="91"/>
      <c r="EW121" s="91"/>
      <c r="EX121" s="91"/>
      <c r="EY121" s="91"/>
      <c r="EZ121" s="91"/>
      <c r="FA121" s="91"/>
      <c r="FB121" s="91"/>
      <c r="FC121" s="91"/>
      <c r="FD121" s="91"/>
      <c r="FE121" s="91"/>
      <c r="FF121" s="91"/>
      <c r="FG121" s="91"/>
      <c r="FH121" s="91"/>
      <c r="FI121" s="91"/>
      <c r="FJ121" s="91"/>
      <c r="FK121" s="91"/>
      <c r="FL121" s="91"/>
      <c r="FM121" s="91"/>
      <c r="FN121" s="91"/>
      <c r="FO121" s="91"/>
      <c r="FP121" s="91"/>
      <c r="FQ121" s="91"/>
      <c r="FR121" s="91"/>
      <c r="FS121" s="91"/>
      <c r="FT121" s="91"/>
      <c r="FU121" s="91"/>
      <c r="FV121" s="91"/>
      <c r="FW121" s="91"/>
      <c r="FX121" s="91"/>
      <c r="FY121" s="91"/>
      <c r="FZ121" s="91"/>
      <c r="GA121" s="91"/>
      <c r="GB121" s="91"/>
      <c r="GC121" s="91"/>
      <c r="GD121" s="91"/>
      <c r="GE121" s="91"/>
      <c r="GF121" s="91"/>
      <c r="GG121" s="91"/>
      <c r="GH121" s="91"/>
      <c r="GI121" s="91"/>
      <c r="GJ121" s="91"/>
      <c r="GK121" s="91"/>
      <c r="GL121" s="91"/>
      <c r="GM121" s="91"/>
      <c r="GN121" s="91"/>
      <c r="GO121" s="91"/>
      <c r="GP121" s="91"/>
      <c r="GQ121" s="91"/>
      <c r="GR121" s="91"/>
      <c r="GS121" s="91"/>
      <c r="GT121" s="91"/>
      <c r="GU121" s="91"/>
      <c r="GV121" s="91"/>
      <c r="GW121" s="91"/>
      <c r="GX121" s="91"/>
      <c r="GY121" s="91"/>
      <c r="GZ121" s="91"/>
      <c r="HA121" s="91"/>
      <c r="HB121" s="91"/>
      <c r="HC121" s="91"/>
      <c r="HD121" s="91"/>
      <c r="HE121" s="91"/>
      <c r="HF121" s="91"/>
      <c r="HG121" s="91"/>
      <c r="HH121" s="91"/>
      <c r="HI121" s="91"/>
      <c r="HJ121" s="91"/>
      <c r="HK121" s="91"/>
      <c r="HL121" s="91"/>
      <c r="HM121" s="91"/>
      <c r="HN121" s="91"/>
      <c r="HO121" s="91"/>
      <c r="HP121" s="91"/>
      <c r="HQ121" s="91"/>
      <c r="HR121" s="91"/>
      <c r="HS121" s="91"/>
      <c r="HT121" s="91"/>
      <c r="HU121" s="91"/>
      <c r="HV121" s="91"/>
      <c r="HW121" s="91"/>
      <c r="HX121" s="91"/>
      <c r="HY121" s="91"/>
      <c r="HZ121" s="91"/>
      <c r="IA121" s="91"/>
      <c r="IB121" s="91"/>
      <c r="IC121" s="91"/>
      <c r="ID121" s="91"/>
      <c r="IE121" s="91"/>
      <c r="IF121" s="91"/>
      <c r="IG121" s="91"/>
      <c r="IH121" s="91"/>
    </row>
    <row r="122" ht="27.0" customHeight="1">
      <c r="A122" s="4"/>
      <c r="B122" s="4"/>
      <c r="C122" s="94" t="s">
        <v>93</v>
      </c>
      <c r="D122" s="95" t="s">
        <v>94</v>
      </c>
      <c r="E122" s="94" t="s">
        <v>95</v>
      </c>
      <c r="F122" s="106">
        <v>46269.0</v>
      </c>
      <c r="G122" s="106">
        <v>46277.0</v>
      </c>
      <c r="H122" s="97">
        <f t="shared" si="10"/>
        <v>8</v>
      </c>
      <c r="I122" s="109" t="s">
        <v>32</v>
      </c>
      <c r="J122" s="110">
        <f t="array" ref="J122">IFS(I115="Completo",100%,I115="Não iniciado",0%,I115="Em Progresso",50%)</f>
        <v>0</v>
      </c>
      <c r="K122" s="94" t="s">
        <v>89</v>
      </c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DY122" s="91"/>
      <c r="DZ122" s="91"/>
      <c r="EA122" s="91"/>
      <c r="EB122" s="91"/>
      <c r="EC122" s="91"/>
      <c r="ED122" s="91"/>
      <c r="EE122" s="91"/>
      <c r="EF122" s="91"/>
      <c r="EG122" s="91"/>
      <c r="EH122" s="91"/>
      <c r="EI122" s="91"/>
      <c r="EJ122" s="91"/>
      <c r="EK122" s="91"/>
      <c r="EL122" s="91"/>
      <c r="EM122" s="91"/>
      <c r="EN122" s="91"/>
      <c r="EO122" s="91"/>
      <c r="EP122" s="91"/>
      <c r="EQ122" s="91"/>
      <c r="ER122" s="91"/>
      <c r="ES122" s="91"/>
      <c r="ET122" s="91"/>
      <c r="EU122" s="91"/>
      <c r="EV122" s="91"/>
      <c r="EW122" s="91"/>
      <c r="EX122" s="91"/>
      <c r="EY122" s="91"/>
      <c r="EZ122" s="91"/>
      <c r="FA122" s="91"/>
      <c r="FB122" s="91"/>
      <c r="FC122" s="91"/>
      <c r="FD122" s="91"/>
      <c r="FE122" s="91"/>
      <c r="FF122" s="91"/>
      <c r="FG122" s="91"/>
      <c r="FH122" s="91"/>
      <c r="FI122" s="91"/>
      <c r="FJ122" s="91"/>
      <c r="FK122" s="91"/>
      <c r="FL122" s="91"/>
      <c r="FM122" s="91"/>
      <c r="FN122" s="91"/>
      <c r="FO122" s="91"/>
      <c r="FP122" s="91"/>
      <c r="FQ122" s="91"/>
      <c r="FR122" s="91"/>
      <c r="FS122" s="91"/>
      <c r="FT122" s="91"/>
      <c r="FU122" s="91"/>
      <c r="FV122" s="91"/>
      <c r="FW122" s="91"/>
      <c r="FX122" s="91"/>
      <c r="FY122" s="91"/>
      <c r="FZ122" s="91"/>
      <c r="GA122" s="91"/>
      <c r="GB122" s="91"/>
      <c r="GC122" s="91"/>
      <c r="GD122" s="91"/>
      <c r="GE122" s="91"/>
      <c r="GF122" s="91"/>
      <c r="GG122" s="91"/>
      <c r="GH122" s="91"/>
      <c r="GI122" s="91"/>
      <c r="GJ122" s="91"/>
      <c r="GK122" s="91"/>
      <c r="GL122" s="91"/>
      <c r="GM122" s="91"/>
      <c r="GN122" s="91"/>
      <c r="GO122" s="91"/>
      <c r="GP122" s="91"/>
      <c r="GQ122" s="91"/>
      <c r="GR122" s="91"/>
      <c r="GS122" s="91"/>
      <c r="GT122" s="91"/>
      <c r="GU122" s="91"/>
      <c r="GV122" s="91"/>
      <c r="GW122" s="91"/>
      <c r="GX122" s="91"/>
      <c r="GY122" s="91"/>
      <c r="GZ122" s="91"/>
      <c r="HA122" s="91"/>
      <c r="HB122" s="91"/>
      <c r="HC122" s="91"/>
      <c r="HD122" s="91"/>
      <c r="HE122" s="91"/>
      <c r="HF122" s="91"/>
      <c r="HG122" s="91"/>
      <c r="HH122" s="91"/>
      <c r="HI122" s="91"/>
      <c r="HJ122" s="91"/>
      <c r="HK122" s="91"/>
      <c r="HL122" s="91"/>
      <c r="HM122" s="91"/>
      <c r="HN122" s="91"/>
      <c r="HO122" s="91"/>
      <c r="HP122" s="91"/>
      <c r="HQ122" s="91"/>
      <c r="HR122" s="91"/>
      <c r="HS122" s="91"/>
      <c r="HT122" s="91"/>
      <c r="HU122" s="91"/>
      <c r="HV122" s="91"/>
      <c r="HW122" s="91"/>
      <c r="HX122" s="91"/>
      <c r="HY122" s="91"/>
      <c r="HZ122" s="91"/>
      <c r="IA122" s="91"/>
      <c r="IB122" s="91"/>
      <c r="IC122" s="91"/>
      <c r="ID122" s="91"/>
      <c r="IE122" s="91"/>
      <c r="IF122" s="91"/>
      <c r="IG122" s="91"/>
      <c r="IH122" s="91"/>
    </row>
    <row r="123" ht="27.0" customHeight="1">
      <c r="A123" s="4"/>
      <c r="B123" s="4"/>
      <c r="C123" s="94" t="s">
        <v>96</v>
      </c>
      <c r="D123" s="95" t="s">
        <v>97</v>
      </c>
      <c r="E123" s="94" t="s">
        <v>95</v>
      </c>
      <c r="F123" s="106">
        <v>46278.0</v>
      </c>
      <c r="G123" s="106">
        <v>46283.0</v>
      </c>
      <c r="H123" s="97">
        <f t="shared" si="10"/>
        <v>5</v>
      </c>
      <c r="I123" s="109" t="s">
        <v>32</v>
      </c>
      <c r="J123" s="110">
        <f t="array" ref="J123">IFS(I117="Completo",100%,I117="Não iniciado",0%,I117="Em Progresso",50%)</f>
        <v>0</v>
      </c>
      <c r="K123" s="94" t="s">
        <v>93</v>
      </c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DY123" s="91"/>
      <c r="DZ123" s="91"/>
      <c r="EA123" s="91"/>
      <c r="EB123" s="91"/>
      <c r="EC123" s="91"/>
      <c r="ED123" s="91"/>
      <c r="EE123" s="91"/>
      <c r="EF123" s="91"/>
      <c r="EG123" s="91"/>
      <c r="EH123" s="91"/>
      <c r="EI123" s="91"/>
      <c r="EJ123" s="91"/>
      <c r="EK123" s="91"/>
      <c r="EL123" s="91"/>
      <c r="EM123" s="91"/>
      <c r="EN123" s="91"/>
      <c r="EO123" s="91"/>
      <c r="EP123" s="91"/>
      <c r="EQ123" s="91"/>
      <c r="ER123" s="91"/>
      <c r="ES123" s="91"/>
      <c r="ET123" s="91"/>
      <c r="EU123" s="91"/>
      <c r="EV123" s="91"/>
      <c r="EW123" s="91"/>
      <c r="EX123" s="91"/>
      <c r="EY123" s="91"/>
      <c r="EZ123" s="91"/>
      <c r="FA123" s="91"/>
      <c r="FB123" s="91"/>
      <c r="FC123" s="91"/>
      <c r="FD123" s="91"/>
      <c r="FE123" s="91"/>
      <c r="FF123" s="91"/>
      <c r="FG123" s="91"/>
      <c r="FH123" s="91"/>
      <c r="FI123" s="91"/>
      <c r="FJ123" s="91"/>
      <c r="FK123" s="91"/>
      <c r="FL123" s="91"/>
      <c r="FM123" s="91"/>
      <c r="FN123" s="91"/>
      <c r="FO123" s="91"/>
      <c r="FP123" s="91"/>
      <c r="FQ123" s="91"/>
      <c r="FR123" s="91"/>
      <c r="FS123" s="91"/>
      <c r="FT123" s="91"/>
      <c r="FU123" s="91"/>
      <c r="FV123" s="91"/>
      <c r="FW123" s="91"/>
      <c r="FX123" s="91"/>
      <c r="FY123" s="91"/>
      <c r="FZ123" s="91"/>
      <c r="GA123" s="91"/>
      <c r="GB123" s="91"/>
      <c r="GC123" s="91"/>
      <c r="GD123" s="91"/>
      <c r="GE123" s="91"/>
      <c r="GF123" s="91"/>
      <c r="GG123" s="91"/>
      <c r="GH123" s="91"/>
      <c r="GI123" s="91"/>
      <c r="GJ123" s="91"/>
      <c r="GK123" s="91"/>
      <c r="GL123" s="91"/>
      <c r="GM123" s="91"/>
      <c r="GN123" s="91"/>
      <c r="GO123" s="91"/>
      <c r="GP123" s="91"/>
      <c r="GQ123" s="91"/>
      <c r="GR123" s="91"/>
      <c r="GS123" s="91"/>
      <c r="GT123" s="91"/>
      <c r="GU123" s="91"/>
      <c r="GV123" s="91"/>
      <c r="GW123" s="91"/>
      <c r="GX123" s="91"/>
      <c r="GY123" s="91"/>
      <c r="GZ123" s="91"/>
      <c r="HA123" s="91"/>
      <c r="HB123" s="91"/>
      <c r="HC123" s="91"/>
      <c r="HD123" s="91"/>
      <c r="HE123" s="91"/>
      <c r="HF123" s="91"/>
      <c r="HG123" s="91"/>
      <c r="HH123" s="91"/>
      <c r="HI123" s="91"/>
      <c r="HJ123" s="91"/>
      <c r="HK123" s="91"/>
      <c r="HL123" s="91"/>
      <c r="HM123" s="91"/>
      <c r="HN123" s="91"/>
      <c r="HO123" s="91"/>
      <c r="HP123" s="91"/>
      <c r="HQ123" s="91"/>
      <c r="HR123" s="91"/>
      <c r="HS123" s="91"/>
      <c r="HT123" s="91"/>
      <c r="HU123" s="91"/>
      <c r="HV123" s="91"/>
      <c r="HW123" s="91"/>
      <c r="HX123" s="91"/>
      <c r="HY123" s="91"/>
      <c r="HZ123" s="91"/>
      <c r="IA123" s="91"/>
      <c r="IB123" s="91"/>
      <c r="IC123" s="91"/>
      <c r="ID123" s="91"/>
      <c r="IE123" s="91"/>
      <c r="IF123" s="91"/>
      <c r="IG123" s="91"/>
      <c r="IH123" s="91"/>
    </row>
    <row r="124" ht="27.0" customHeight="1">
      <c r="A124" s="4"/>
      <c r="B124" s="4"/>
      <c r="C124" s="94" t="s">
        <v>98</v>
      </c>
      <c r="D124" s="95" t="s">
        <v>99</v>
      </c>
      <c r="E124" s="94" t="s">
        <v>91</v>
      </c>
      <c r="F124" s="106">
        <v>46284.0</v>
      </c>
      <c r="G124" s="106">
        <v>46289.0</v>
      </c>
      <c r="H124" s="97">
        <f t="shared" si="10"/>
        <v>5</v>
      </c>
      <c r="I124" s="109" t="s">
        <v>32</v>
      </c>
      <c r="J124" s="110">
        <f t="array" ref="J124">IFS(I118="Completo",100%,I118="Não iniciado",0%,I118="Em Progresso",50%)</f>
        <v>0</v>
      </c>
      <c r="K124" s="94" t="s">
        <v>96</v>
      </c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DY124" s="91"/>
      <c r="DZ124" s="91"/>
      <c r="EA124" s="91"/>
      <c r="EB124" s="91"/>
      <c r="EC124" s="91"/>
      <c r="ED124" s="91"/>
      <c r="EE124" s="91"/>
      <c r="EF124" s="91"/>
      <c r="EG124" s="91"/>
      <c r="EH124" s="91"/>
      <c r="EI124" s="91"/>
      <c r="EJ124" s="91"/>
      <c r="EK124" s="91"/>
      <c r="EL124" s="91"/>
      <c r="EM124" s="91"/>
      <c r="EN124" s="91"/>
      <c r="EO124" s="91"/>
      <c r="EP124" s="91"/>
      <c r="EQ124" s="91"/>
      <c r="ER124" s="91"/>
      <c r="ES124" s="91"/>
      <c r="ET124" s="91"/>
      <c r="EU124" s="91"/>
      <c r="EV124" s="91"/>
      <c r="EW124" s="91"/>
      <c r="EX124" s="91"/>
      <c r="EY124" s="91"/>
      <c r="EZ124" s="91"/>
      <c r="FA124" s="91"/>
      <c r="FB124" s="91"/>
      <c r="FC124" s="91"/>
      <c r="FD124" s="91"/>
      <c r="FE124" s="91"/>
      <c r="FF124" s="91"/>
      <c r="FG124" s="91"/>
      <c r="FH124" s="91"/>
      <c r="FI124" s="91"/>
      <c r="FJ124" s="91"/>
      <c r="FK124" s="91"/>
      <c r="FL124" s="91"/>
      <c r="FM124" s="91"/>
      <c r="FN124" s="91"/>
      <c r="FO124" s="91"/>
      <c r="FP124" s="91"/>
      <c r="FQ124" s="91"/>
      <c r="FR124" s="91"/>
      <c r="FS124" s="91"/>
      <c r="FT124" s="91"/>
      <c r="FU124" s="91"/>
      <c r="FV124" s="91"/>
      <c r="FW124" s="91"/>
      <c r="FX124" s="91"/>
      <c r="FY124" s="91"/>
      <c r="FZ124" s="91"/>
      <c r="GA124" s="91"/>
      <c r="GB124" s="91"/>
      <c r="GC124" s="91"/>
      <c r="GD124" s="91"/>
      <c r="GE124" s="91"/>
      <c r="GF124" s="91"/>
      <c r="GG124" s="91"/>
      <c r="GH124" s="91"/>
      <c r="GI124" s="91"/>
      <c r="GJ124" s="91"/>
      <c r="GK124" s="91"/>
      <c r="GL124" s="91"/>
      <c r="GM124" s="91"/>
      <c r="GN124" s="91"/>
      <c r="GO124" s="91"/>
      <c r="GP124" s="91"/>
      <c r="GQ124" s="91"/>
      <c r="GR124" s="91"/>
      <c r="GS124" s="91"/>
      <c r="GT124" s="91"/>
      <c r="GU124" s="91"/>
      <c r="GV124" s="91"/>
      <c r="GW124" s="91"/>
      <c r="GX124" s="91"/>
      <c r="GY124" s="91"/>
      <c r="GZ124" s="91"/>
      <c r="HA124" s="91"/>
      <c r="HB124" s="91"/>
      <c r="HC124" s="91"/>
      <c r="HD124" s="91"/>
      <c r="HE124" s="91"/>
      <c r="HF124" s="91"/>
      <c r="HG124" s="91"/>
      <c r="HH124" s="91"/>
      <c r="HI124" s="91"/>
      <c r="HJ124" s="91"/>
      <c r="HK124" s="91"/>
      <c r="HL124" s="91"/>
      <c r="HM124" s="91"/>
      <c r="HN124" s="91"/>
      <c r="HO124" s="91"/>
      <c r="HP124" s="91"/>
      <c r="HQ124" s="91"/>
      <c r="HR124" s="91"/>
      <c r="HS124" s="91"/>
      <c r="HT124" s="91"/>
      <c r="HU124" s="91"/>
      <c r="HV124" s="91"/>
      <c r="HW124" s="91"/>
      <c r="HX124" s="91"/>
      <c r="HY124" s="91"/>
      <c r="HZ124" s="91"/>
      <c r="IA124" s="91"/>
      <c r="IB124" s="91"/>
      <c r="IC124" s="91"/>
      <c r="ID124" s="91"/>
      <c r="IE124" s="91"/>
      <c r="IF124" s="91"/>
      <c r="IG124" s="91"/>
      <c r="IH124" s="91"/>
    </row>
    <row r="125" ht="15.75" customHeight="1">
      <c r="A125" s="4"/>
      <c r="B125" s="4"/>
      <c r="C125" s="5"/>
      <c r="D125" s="7"/>
      <c r="E125" s="5"/>
      <c r="F125" s="5"/>
      <c r="G125" s="5"/>
      <c r="H125" s="4"/>
      <c r="I125" s="5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</row>
    <row r="126" ht="15.75" customHeight="1">
      <c r="A126" s="4"/>
      <c r="B126" s="4"/>
      <c r="C126" s="5"/>
      <c r="D126" s="7"/>
      <c r="E126" s="5"/>
      <c r="F126" s="5"/>
      <c r="G126" s="5"/>
      <c r="H126" s="4"/>
      <c r="I126" s="5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</row>
    <row r="127" ht="15.75" customHeight="1">
      <c r="A127" s="4"/>
      <c r="B127" s="4"/>
      <c r="C127" s="5"/>
      <c r="D127" s="7"/>
      <c r="E127" s="5"/>
      <c r="F127" s="5"/>
      <c r="G127" s="5"/>
      <c r="H127" s="4"/>
      <c r="I127" s="5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</row>
    <row r="128" ht="15.75" customHeight="1">
      <c r="A128" s="4"/>
      <c r="B128" s="4"/>
      <c r="C128" s="5"/>
      <c r="D128" s="7"/>
      <c r="E128" s="5"/>
      <c r="F128" s="5"/>
      <c r="G128" s="5"/>
      <c r="H128" s="4"/>
      <c r="I128" s="5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</row>
    <row r="129" ht="15.75" customHeight="1">
      <c r="A129" s="4"/>
      <c r="B129" s="4"/>
      <c r="C129" s="5"/>
      <c r="D129" s="7"/>
      <c r="E129" s="5"/>
      <c r="F129" s="5"/>
      <c r="G129" s="5"/>
      <c r="H129" s="4"/>
      <c r="I129" s="5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</row>
    <row r="130" ht="15.75" customHeight="1">
      <c r="A130" s="4"/>
      <c r="B130" s="4"/>
      <c r="C130" s="5"/>
      <c r="D130" s="7"/>
      <c r="E130" s="5"/>
      <c r="F130" s="5"/>
      <c r="G130" s="5"/>
      <c r="H130" s="4"/>
      <c r="I130" s="5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</row>
    <row r="131" ht="15.75" customHeight="1">
      <c r="A131" s="4"/>
      <c r="B131" s="4"/>
      <c r="C131" s="5"/>
      <c r="D131" s="7"/>
      <c r="E131" s="5"/>
      <c r="F131" s="5"/>
      <c r="G131" s="5"/>
      <c r="H131" s="4"/>
      <c r="I131" s="5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</row>
    <row r="132" ht="15.75" customHeight="1">
      <c r="A132" s="4"/>
      <c r="B132" s="4"/>
      <c r="C132" s="5"/>
      <c r="D132" s="7"/>
      <c r="E132" s="5"/>
      <c r="F132" s="5"/>
      <c r="G132" s="5"/>
      <c r="H132" s="4"/>
      <c r="I132" s="5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</row>
    <row r="133" ht="15.75" customHeight="1">
      <c r="A133" s="4"/>
      <c r="B133" s="4"/>
      <c r="C133" s="5"/>
      <c r="D133" s="7"/>
      <c r="E133" s="5"/>
      <c r="F133" s="5"/>
      <c r="G133" s="5"/>
      <c r="H133" s="4"/>
      <c r="I133" s="5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</row>
    <row r="134" ht="15.75" customHeight="1">
      <c r="A134" s="4"/>
      <c r="B134" s="4"/>
      <c r="C134" s="5"/>
      <c r="D134" s="7"/>
      <c r="E134" s="5"/>
      <c r="F134" s="5"/>
      <c r="G134" s="5"/>
      <c r="H134" s="4"/>
      <c r="I134" s="5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</row>
    <row r="135" ht="15.75" customHeight="1">
      <c r="A135" s="4"/>
      <c r="B135" s="4"/>
      <c r="C135" s="5"/>
      <c r="D135" s="7"/>
      <c r="E135" s="5"/>
      <c r="F135" s="5"/>
      <c r="G135" s="5"/>
      <c r="H135" s="4"/>
      <c r="I135" s="5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</row>
    <row r="136" ht="15.75" customHeight="1">
      <c r="A136" s="4"/>
      <c r="B136" s="4"/>
      <c r="C136" s="5"/>
      <c r="D136" s="7"/>
      <c r="E136" s="5"/>
      <c r="F136" s="5"/>
      <c r="G136" s="5"/>
      <c r="H136" s="4"/>
      <c r="I136" s="5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</row>
    <row r="137" ht="15.75" customHeight="1">
      <c r="A137" s="4"/>
      <c r="B137" s="4"/>
      <c r="C137" s="5"/>
      <c r="D137" s="7"/>
      <c r="E137" s="5"/>
      <c r="F137" s="5"/>
      <c r="G137" s="5"/>
      <c r="H137" s="4"/>
      <c r="I137" s="5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</row>
    <row r="138" ht="15.75" customHeight="1">
      <c r="A138" s="4"/>
      <c r="B138" s="4"/>
      <c r="C138" s="5"/>
      <c r="D138" s="7"/>
      <c r="E138" s="5"/>
      <c r="F138" s="5"/>
      <c r="G138" s="5"/>
      <c r="H138" s="4"/>
      <c r="I138" s="5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</row>
    <row r="139" ht="15.75" customHeight="1">
      <c r="A139" s="4"/>
      <c r="B139" s="4"/>
      <c r="C139" s="5"/>
      <c r="D139" s="7"/>
      <c r="E139" s="5"/>
      <c r="F139" s="5"/>
      <c r="G139" s="5"/>
      <c r="H139" s="4"/>
      <c r="I139" s="5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</row>
    <row r="140" ht="15.75" customHeight="1">
      <c r="A140" s="4"/>
      <c r="B140" s="4"/>
      <c r="C140" s="5"/>
      <c r="D140" s="7"/>
      <c r="E140" s="5"/>
      <c r="F140" s="5"/>
      <c r="G140" s="5"/>
      <c r="H140" s="4"/>
      <c r="I140" s="5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</row>
    <row r="141" ht="15.75" customHeight="1">
      <c r="A141" s="4"/>
      <c r="B141" s="4"/>
      <c r="C141" s="5"/>
      <c r="D141" s="7"/>
      <c r="E141" s="5"/>
      <c r="F141" s="5"/>
      <c r="G141" s="5"/>
      <c r="H141" s="4"/>
      <c r="I141" s="5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</row>
    <row r="142" ht="15.75" customHeight="1">
      <c r="A142" s="4"/>
      <c r="B142" s="4"/>
      <c r="C142" s="5"/>
      <c r="D142" s="7"/>
      <c r="E142" s="5"/>
      <c r="F142" s="5"/>
      <c r="G142" s="5"/>
      <c r="H142" s="4"/>
      <c r="I142" s="5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</row>
    <row r="143" ht="15.75" customHeight="1">
      <c r="A143" s="4"/>
      <c r="B143" s="4"/>
      <c r="C143" s="5"/>
      <c r="D143" s="7"/>
      <c r="E143" s="5"/>
      <c r="F143" s="5"/>
      <c r="G143" s="5"/>
      <c r="H143" s="4"/>
      <c r="I143" s="5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</row>
    <row r="144" ht="15.75" customHeight="1">
      <c r="A144" s="4"/>
      <c r="B144" s="4"/>
      <c r="C144" s="5"/>
      <c r="D144" s="7"/>
      <c r="E144" s="5"/>
      <c r="F144" s="5"/>
      <c r="G144" s="5"/>
      <c r="H144" s="4"/>
      <c r="I144" s="5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</row>
    <row r="145" ht="15.75" customHeight="1">
      <c r="A145" s="4"/>
      <c r="B145" s="4"/>
      <c r="C145" s="5"/>
      <c r="D145" s="7"/>
      <c r="E145" s="5"/>
      <c r="F145" s="5"/>
      <c r="G145" s="5"/>
      <c r="H145" s="4"/>
      <c r="I145" s="5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</row>
    <row r="146" ht="15.75" customHeight="1">
      <c r="A146" s="4"/>
      <c r="B146" s="4"/>
      <c r="C146" s="5"/>
      <c r="D146" s="7"/>
      <c r="E146" s="5"/>
      <c r="F146" s="5"/>
      <c r="G146" s="5"/>
      <c r="H146" s="4"/>
      <c r="I146" s="5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</row>
    <row r="147" ht="15.75" customHeight="1">
      <c r="A147" s="4"/>
      <c r="B147" s="4"/>
      <c r="C147" s="5"/>
      <c r="D147" s="7"/>
      <c r="E147" s="5"/>
      <c r="F147" s="5"/>
      <c r="G147" s="5"/>
      <c r="H147" s="4"/>
      <c r="I147" s="5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</row>
    <row r="148" ht="15.75" customHeight="1">
      <c r="A148" s="4"/>
      <c r="B148" s="4"/>
      <c r="C148" s="5"/>
      <c r="D148" s="7"/>
      <c r="E148" s="5"/>
      <c r="F148" s="5"/>
      <c r="G148" s="5"/>
      <c r="H148" s="4"/>
      <c r="I148" s="5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</row>
    <row r="149" ht="15.75" customHeight="1">
      <c r="A149" s="4"/>
      <c r="B149" s="4"/>
      <c r="C149" s="5"/>
      <c r="D149" s="7"/>
      <c r="E149" s="5"/>
      <c r="F149" s="5"/>
      <c r="G149" s="5"/>
      <c r="H149" s="4"/>
      <c r="I149" s="5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</row>
    <row r="150" ht="15.75" customHeight="1">
      <c r="A150" s="4"/>
      <c r="B150" s="4"/>
      <c r="C150" s="5"/>
      <c r="D150" s="7"/>
      <c r="E150" s="5"/>
      <c r="F150" s="5"/>
      <c r="G150" s="5"/>
      <c r="H150" s="4"/>
      <c r="I150" s="5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</row>
    <row r="151" ht="15.75" customHeight="1">
      <c r="A151" s="4"/>
      <c r="B151" s="4"/>
      <c r="C151" s="5"/>
      <c r="D151" s="7"/>
      <c r="E151" s="5"/>
      <c r="F151" s="5"/>
      <c r="G151" s="5"/>
      <c r="H151" s="4"/>
      <c r="I151" s="5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</row>
    <row r="152" ht="15.75" customHeight="1">
      <c r="A152" s="4"/>
      <c r="B152" s="4"/>
      <c r="C152" s="5"/>
      <c r="D152" s="7"/>
      <c r="E152" s="5"/>
      <c r="F152" s="5"/>
      <c r="G152" s="5"/>
      <c r="H152" s="4"/>
      <c r="I152" s="5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</row>
    <row r="153" ht="15.75" customHeight="1">
      <c r="A153" s="4"/>
      <c r="B153" s="4"/>
      <c r="C153" s="5"/>
      <c r="D153" s="7"/>
      <c r="E153" s="5"/>
      <c r="F153" s="5"/>
      <c r="G153" s="5"/>
      <c r="H153" s="4"/>
      <c r="I153" s="5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</row>
    <row r="154" ht="15.75" customHeight="1">
      <c r="A154" s="4"/>
      <c r="B154" s="4"/>
      <c r="C154" s="5"/>
      <c r="D154" s="7"/>
      <c r="E154" s="5"/>
      <c r="F154" s="5"/>
      <c r="G154" s="5"/>
      <c r="H154" s="4"/>
      <c r="I154" s="5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</row>
    <row r="155" ht="15.75" customHeight="1">
      <c r="A155" s="4"/>
      <c r="B155" s="4"/>
      <c r="C155" s="5"/>
      <c r="D155" s="7"/>
      <c r="E155" s="5"/>
      <c r="F155" s="5"/>
      <c r="G155" s="5"/>
      <c r="H155" s="4"/>
      <c r="I155" s="5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</row>
    <row r="156" ht="15.75" customHeight="1">
      <c r="A156" s="4"/>
      <c r="B156" s="4"/>
      <c r="C156" s="5"/>
      <c r="D156" s="7"/>
      <c r="E156" s="5"/>
      <c r="F156" s="5"/>
      <c r="G156" s="5"/>
      <c r="H156" s="4"/>
      <c r="I156" s="5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</row>
    <row r="157" ht="15.75" customHeight="1">
      <c r="A157" s="4"/>
      <c r="B157" s="4"/>
      <c r="C157" s="5"/>
      <c r="D157" s="7"/>
      <c r="E157" s="5"/>
      <c r="F157" s="5"/>
      <c r="G157" s="5"/>
      <c r="H157" s="4"/>
      <c r="I157" s="5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</row>
    <row r="158" ht="15.75" customHeight="1">
      <c r="A158" s="4"/>
      <c r="B158" s="4"/>
      <c r="C158" s="5"/>
      <c r="D158" s="7"/>
      <c r="E158" s="5"/>
      <c r="F158" s="5"/>
      <c r="G158" s="5"/>
      <c r="H158" s="4"/>
      <c r="I158" s="5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</row>
    <row r="159" ht="15.75" customHeight="1">
      <c r="A159" s="4"/>
      <c r="B159" s="4"/>
      <c r="C159" s="5"/>
      <c r="D159" s="7"/>
      <c r="E159" s="5"/>
      <c r="F159" s="5"/>
      <c r="G159" s="5"/>
      <c r="H159" s="4"/>
      <c r="I159" s="5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</row>
    <row r="160" ht="15.75" customHeight="1">
      <c r="A160" s="4"/>
      <c r="B160" s="4"/>
      <c r="C160" s="5"/>
      <c r="D160" s="7"/>
      <c r="E160" s="5"/>
      <c r="F160" s="5"/>
      <c r="G160" s="5"/>
      <c r="H160" s="4"/>
      <c r="I160" s="5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</row>
    <row r="161" ht="15.75" customHeight="1">
      <c r="A161" s="4"/>
      <c r="B161" s="78" t="s">
        <v>10</v>
      </c>
      <c r="C161" s="5"/>
      <c r="D161" s="7"/>
      <c r="E161" s="5"/>
      <c r="F161" s="5"/>
      <c r="G161" s="5"/>
      <c r="H161" s="4"/>
      <c r="I161" s="5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</row>
    <row r="162" ht="15.75" customHeight="1">
      <c r="A162" s="4"/>
      <c r="B162" s="79" t="s">
        <v>32</v>
      </c>
      <c r="C162" s="5"/>
      <c r="D162" s="7"/>
      <c r="E162" s="5"/>
      <c r="F162" s="5"/>
      <c r="G162" s="5"/>
      <c r="H162" s="4"/>
      <c r="I162" s="5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</row>
    <row r="163" ht="15.75" customHeight="1">
      <c r="A163" s="4"/>
      <c r="B163" s="81" t="s">
        <v>33</v>
      </c>
      <c r="C163" s="5"/>
      <c r="D163" s="7"/>
      <c r="E163" s="5"/>
      <c r="F163" s="5"/>
      <c r="G163" s="5"/>
      <c r="H163" s="4"/>
      <c r="I163" s="5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</row>
    <row r="164" ht="15.75" customHeight="1">
      <c r="A164" s="4"/>
      <c r="B164" s="82" t="s">
        <v>34</v>
      </c>
      <c r="C164" s="5"/>
      <c r="D164" s="7"/>
      <c r="E164" s="5"/>
      <c r="F164" s="5"/>
      <c r="G164" s="5"/>
      <c r="H164" s="4"/>
      <c r="I164" s="5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</row>
    <row r="165" ht="15.75" customHeight="1">
      <c r="A165" s="4"/>
      <c r="B165" s="111" t="s">
        <v>310</v>
      </c>
      <c r="C165" s="5"/>
      <c r="D165" s="7"/>
      <c r="E165" s="5"/>
      <c r="F165" s="5"/>
      <c r="G165" s="5"/>
      <c r="H165" s="4"/>
      <c r="I165" s="5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</row>
    <row r="166" ht="15.75" customHeight="1">
      <c r="A166" s="4"/>
      <c r="B166" s="4"/>
      <c r="C166" s="5"/>
      <c r="D166" s="112"/>
      <c r="E166" s="5"/>
      <c r="F166" s="5"/>
      <c r="G166" s="5"/>
      <c r="H166" s="4"/>
      <c r="I166" s="5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</row>
    <row r="167" ht="15.75" customHeight="1">
      <c r="A167" s="4"/>
      <c r="B167" s="4"/>
      <c r="C167" s="5"/>
      <c r="D167" s="112"/>
      <c r="E167" s="5"/>
      <c r="F167" s="5"/>
      <c r="G167" s="5"/>
      <c r="H167" s="4"/>
      <c r="I167" s="5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</row>
    <row r="168" ht="15.75" customHeight="1">
      <c r="A168" s="4"/>
      <c r="B168" s="4"/>
      <c r="C168" s="5"/>
      <c r="D168" s="112"/>
      <c r="E168" s="5"/>
      <c r="F168" s="5"/>
      <c r="G168" s="5"/>
      <c r="H168" s="4"/>
      <c r="I168" s="5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</row>
    <row r="169" ht="15.75" customHeight="1">
      <c r="A169" s="4"/>
      <c r="B169" s="4"/>
      <c r="C169" s="5"/>
      <c r="D169" s="112"/>
      <c r="E169" s="5"/>
      <c r="F169" s="5"/>
      <c r="G169" s="5"/>
      <c r="H169" s="4"/>
      <c r="I169" s="5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</row>
    <row r="170" ht="15.75" customHeight="1">
      <c r="A170" s="4"/>
      <c r="B170" s="4"/>
      <c r="C170" s="5"/>
      <c r="D170" s="112"/>
      <c r="E170" s="5"/>
      <c r="F170" s="5"/>
      <c r="G170" s="5"/>
      <c r="H170" s="4"/>
      <c r="I170" s="5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</row>
    <row r="171" ht="15.75" customHeight="1">
      <c r="A171" s="4"/>
      <c r="B171" s="4"/>
      <c r="C171" s="5"/>
      <c r="D171" s="112"/>
      <c r="E171" s="5"/>
      <c r="F171" s="5"/>
      <c r="G171" s="5"/>
      <c r="H171" s="4"/>
      <c r="I171" s="5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</row>
    <row r="172" ht="15.75" customHeight="1">
      <c r="A172" s="4"/>
      <c r="B172" s="4"/>
      <c r="C172" s="5"/>
      <c r="D172" s="112"/>
      <c r="E172" s="5"/>
      <c r="F172" s="5"/>
      <c r="G172" s="5"/>
      <c r="H172" s="4"/>
      <c r="I172" s="5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</row>
    <row r="173" ht="15.75" customHeight="1">
      <c r="A173" s="4"/>
      <c r="B173" s="4"/>
      <c r="C173" s="5"/>
      <c r="D173" s="112"/>
      <c r="E173" s="5"/>
      <c r="F173" s="5"/>
      <c r="G173" s="5"/>
      <c r="H173" s="4"/>
      <c r="I173" s="5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</row>
    <row r="174" ht="15.75" customHeight="1">
      <c r="A174" s="4"/>
      <c r="B174" s="4"/>
      <c r="C174" s="5"/>
      <c r="D174" s="112"/>
      <c r="E174" s="5"/>
      <c r="F174" s="5"/>
      <c r="G174" s="5"/>
      <c r="H174" s="4"/>
      <c r="I174" s="5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</row>
    <row r="175" ht="15.75" customHeight="1">
      <c r="A175" s="4"/>
      <c r="B175" s="4"/>
      <c r="C175" s="5"/>
      <c r="D175" s="112"/>
      <c r="E175" s="5"/>
      <c r="F175" s="5"/>
      <c r="G175" s="5"/>
      <c r="H175" s="4"/>
      <c r="I175" s="5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</row>
    <row r="176" ht="15.75" customHeight="1">
      <c r="A176" s="4"/>
      <c r="B176" s="4"/>
      <c r="C176" s="5"/>
      <c r="D176" s="112"/>
      <c r="E176" s="5"/>
      <c r="F176" s="5"/>
      <c r="G176" s="5"/>
      <c r="H176" s="4"/>
      <c r="I176" s="5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</row>
    <row r="177" ht="15.75" customHeight="1">
      <c r="A177" s="4"/>
      <c r="B177" s="4"/>
      <c r="C177" s="5"/>
      <c r="D177" s="112"/>
      <c r="E177" s="5"/>
      <c r="F177" s="5"/>
      <c r="G177" s="5"/>
      <c r="H177" s="4"/>
      <c r="I177" s="5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</row>
    <row r="178" ht="15.75" customHeight="1">
      <c r="A178" s="4"/>
      <c r="B178" s="4"/>
      <c r="C178" s="5"/>
      <c r="D178" s="112"/>
      <c r="E178" s="5"/>
      <c r="F178" s="5"/>
      <c r="G178" s="5"/>
      <c r="H178" s="4"/>
      <c r="I178" s="5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</row>
    <row r="179" ht="15.75" customHeight="1">
      <c r="A179" s="4"/>
      <c r="B179" s="4"/>
      <c r="C179" s="5"/>
      <c r="D179" s="112"/>
      <c r="E179" s="5"/>
      <c r="F179" s="5"/>
      <c r="G179" s="5"/>
      <c r="H179" s="4"/>
      <c r="I179" s="5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</row>
    <row r="180" ht="15.75" customHeight="1">
      <c r="A180" s="4"/>
      <c r="B180" s="4"/>
      <c r="C180" s="5"/>
      <c r="D180" s="112"/>
      <c r="E180" s="5"/>
      <c r="F180" s="5"/>
      <c r="G180" s="5"/>
      <c r="H180" s="4"/>
      <c r="I180" s="5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</row>
    <row r="181" ht="15.75" customHeight="1">
      <c r="A181" s="4"/>
      <c r="B181" s="4"/>
      <c r="C181" s="5"/>
      <c r="D181" s="112"/>
      <c r="E181" s="5"/>
      <c r="F181" s="5"/>
      <c r="G181" s="5"/>
      <c r="H181" s="4"/>
      <c r="I181" s="5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</row>
    <row r="182" ht="15.75" customHeight="1">
      <c r="A182" s="4"/>
      <c r="B182" s="4"/>
      <c r="C182" s="5"/>
      <c r="D182" s="112"/>
      <c r="E182" s="5"/>
      <c r="F182" s="5"/>
      <c r="G182" s="5"/>
      <c r="H182" s="4"/>
      <c r="I182" s="5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</row>
    <row r="183" ht="15.75" customHeight="1">
      <c r="A183" s="4"/>
      <c r="B183" s="4"/>
      <c r="C183" s="5"/>
      <c r="D183" s="112"/>
      <c r="E183" s="5"/>
      <c r="F183" s="5"/>
      <c r="G183" s="5"/>
      <c r="H183" s="4"/>
      <c r="I183" s="5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</row>
    <row r="184" ht="15.75" customHeight="1">
      <c r="A184" s="4"/>
      <c r="B184" s="4"/>
      <c r="C184" s="5"/>
      <c r="D184" s="112"/>
      <c r="E184" s="5"/>
      <c r="F184" s="5"/>
      <c r="G184" s="5"/>
      <c r="H184" s="4"/>
      <c r="I184" s="5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</row>
    <row r="185" ht="15.75" customHeight="1">
      <c r="A185" s="4"/>
      <c r="B185" s="4"/>
      <c r="C185" s="5"/>
      <c r="D185" s="112"/>
      <c r="E185" s="5"/>
      <c r="F185" s="5"/>
      <c r="G185" s="5"/>
      <c r="H185" s="4"/>
      <c r="I185" s="5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</row>
    <row r="186" ht="15.75" customHeight="1">
      <c r="A186" s="4"/>
      <c r="B186" s="4"/>
      <c r="C186" s="5"/>
      <c r="D186" s="112"/>
      <c r="E186" s="5"/>
      <c r="F186" s="5"/>
      <c r="G186" s="5"/>
      <c r="H186" s="4"/>
      <c r="I186" s="5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</row>
    <row r="187" ht="15.75" customHeight="1">
      <c r="A187" s="4"/>
      <c r="B187" s="4"/>
      <c r="C187" s="5"/>
      <c r="D187" s="112"/>
      <c r="E187" s="5"/>
      <c r="F187" s="5"/>
      <c r="G187" s="5"/>
      <c r="H187" s="4"/>
      <c r="I187" s="5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</row>
    <row r="188" ht="15.75" customHeight="1">
      <c r="A188" s="4"/>
      <c r="B188" s="4"/>
      <c r="C188" s="5"/>
      <c r="D188" s="112"/>
      <c r="E188" s="5"/>
      <c r="F188" s="5"/>
      <c r="G188" s="5"/>
      <c r="H188" s="4"/>
      <c r="I188" s="5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</row>
    <row r="189" ht="15.75" customHeight="1">
      <c r="A189" s="4"/>
      <c r="B189" s="4"/>
      <c r="C189" s="5"/>
      <c r="D189" s="112"/>
      <c r="E189" s="5"/>
      <c r="F189" s="5"/>
      <c r="G189" s="5"/>
      <c r="H189" s="4"/>
      <c r="I189" s="5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</row>
    <row r="190" ht="15.75" customHeight="1">
      <c r="A190" s="4"/>
      <c r="B190" s="4"/>
      <c r="C190" s="5"/>
      <c r="D190" s="112"/>
      <c r="E190" s="5"/>
      <c r="F190" s="5"/>
      <c r="G190" s="5"/>
      <c r="H190" s="4"/>
      <c r="I190" s="5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</row>
    <row r="191" ht="15.75" customHeight="1">
      <c r="A191" s="4"/>
      <c r="B191" s="4"/>
      <c r="C191" s="5"/>
      <c r="D191" s="112"/>
      <c r="E191" s="5"/>
      <c r="F191" s="5"/>
      <c r="G191" s="5"/>
      <c r="H191" s="4"/>
      <c r="I191" s="5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</row>
    <row r="192" ht="15.75" customHeight="1">
      <c r="A192" s="4"/>
      <c r="B192" s="4"/>
      <c r="C192" s="5"/>
      <c r="D192" s="112"/>
      <c r="E192" s="5"/>
      <c r="F192" s="5"/>
      <c r="G192" s="5"/>
      <c r="H192" s="4"/>
      <c r="I192" s="5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</row>
    <row r="193" ht="15.75" customHeight="1">
      <c r="A193" s="4"/>
      <c r="B193" s="4"/>
      <c r="C193" s="5"/>
      <c r="D193" s="112"/>
      <c r="E193" s="5"/>
      <c r="F193" s="5"/>
      <c r="G193" s="5"/>
      <c r="H193" s="4"/>
      <c r="I193" s="5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</row>
    <row r="194" ht="15.75" customHeight="1">
      <c r="A194" s="4"/>
      <c r="B194" s="4"/>
      <c r="C194" s="5"/>
      <c r="D194" s="112"/>
      <c r="E194" s="5"/>
      <c r="F194" s="5"/>
      <c r="G194" s="5"/>
      <c r="H194" s="4"/>
      <c r="I194" s="5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</row>
    <row r="195" ht="15.75" customHeight="1">
      <c r="A195" s="4"/>
      <c r="B195" s="4"/>
      <c r="C195" s="5"/>
      <c r="D195" s="112"/>
      <c r="E195" s="5"/>
      <c r="F195" s="5"/>
      <c r="G195" s="5"/>
      <c r="H195" s="4"/>
      <c r="I195" s="5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</row>
    <row r="196" ht="15.75" customHeight="1">
      <c r="A196" s="4"/>
      <c r="B196" s="4"/>
      <c r="C196" s="5"/>
      <c r="D196" s="112"/>
      <c r="E196" s="5"/>
      <c r="F196" s="5"/>
      <c r="G196" s="5"/>
      <c r="H196" s="4"/>
      <c r="I196" s="5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</row>
    <row r="197" ht="15.75" customHeight="1">
      <c r="A197" s="4"/>
      <c r="B197" s="4"/>
      <c r="C197" s="5"/>
      <c r="D197" s="112"/>
      <c r="E197" s="5"/>
      <c r="F197" s="5"/>
      <c r="G197" s="5"/>
      <c r="H197" s="4"/>
      <c r="I197" s="5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</row>
    <row r="198" ht="15.75" customHeight="1">
      <c r="A198" s="4"/>
      <c r="B198" s="4"/>
      <c r="C198" s="5"/>
      <c r="D198" s="112"/>
      <c r="E198" s="5"/>
      <c r="F198" s="5"/>
      <c r="G198" s="5"/>
      <c r="H198" s="4"/>
      <c r="I198" s="5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</row>
    <row r="199" ht="15.75" customHeight="1">
      <c r="A199" s="4"/>
      <c r="B199" s="4"/>
      <c r="C199" s="5"/>
      <c r="D199" s="112"/>
      <c r="E199" s="5"/>
      <c r="F199" s="5"/>
      <c r="G199" s="5"/>
      <c r="H199" s="4"/>
      <c r="I199" s="5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</row>
    <row r="200" ht="15.75" customHeight="1">
      <c r="A200" s="4"/>
      <c r="B200" s="4"/>
      <c r="C200" s="5"/>
      <c r="D200" s="112"/>
      <c r="E200" s="5"/>
      <c r="F200" s="5"/>
      <c r="G200" s="5"/>
      <c r="H200" s="4"/>
      <c r="I200" s="5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</row>
    <row r="201" ht="15.75" customHeight="1">
      <c r="A201" s="4"/>
      <c r="B201" s="4"/>
      <c r="C201" s="5"/>
      <c r="D201" s="112"/>
      <c r="E201" s="5"/>
      <c r="F201" s="5"/>
      <c r="G201" s="5"/>
      <c r="H201" s="4"/>
      <c r="I201" s="5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</row>
    <row r="202" ht="15.75" customHeight="1">
      <c r="A202" s="4"/>
      <c r="B202" s="4"/>
      <c r="C202" s="5"/>
      <c r="D202" s="112"/>
      <c r="E202" s="5"/>
      <c r="F202" s="5"/>
      <c r="G202" s="5"/>
      <c r="H202" s="4"/>
      <c r="I202" s="5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</row>
    <row r="203" ht="15.75" customHeight="1">
      <c r="A203" s="4"/>
      <c r="B203" s="4"/>
      <c r="C203" s="5"/>
      <c r="D203" s="112"/>
      <c r="E203" s="5"/>
      <c r="F203" s="5"/>
      <c r="G203" s="5"/>
      <c r="H203" s="4"/>
      <c r="I203" s="5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</row>
    <row r="204" ht="15.75" customHeight="1">
      <c r="A204" s="4"/>
      <c r="B204" s="4"/>
      <c r="C204" s="5"/>
      <c r="D204" s="112"/>
      <c r="E204" s="5"/>
      <c r="F204" s="5"/>
      <c r="G204" s="5"/>
      <c r="H204" s="4"/>
      <c r="I204" s="5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</row>
    <row r="205" ht="15.75" customHeight="1">
      <c r="A205" s="4"/>
      <c r="B205" s="4"/>
      <c r="C205" s="5"/>
      <c r="D205" s="112"/>
      <c r="E205" s="5"/>
      <c r="F205" s="5"/>
      <c r="G205" s="5"/>
      <c r="H205" s="4"/>
      <c r="I205" s="5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</row>
    <row r="206" ht="15.75" customHeight="1">
      <c r="A206" s="4"/>
      <c r="B206" s="4"/>
      <c r="C206" s="5"/>
      <c r="D206" s="112"/>
      <c r="E206" s="5"/>
      <c r="F206" s="5"/>
      <c r="G206" s="5"/>
      <c r="H206" s="4"/>
      <c r="I206" s="5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</row>
    <row r="207" ht="15.75" customHeight="1">
      <c r="A207" s="4"/>
      <c r="B207" s="4"/>
      <c r="C207" s="5"/>
      <c r="D207" s="112"/>
      <c r="E207" s="5"/>
      <c r="F207" s="5"/>
      <c r="G207" s="5"/>
      <c r="H207" s="4"/>
      <c r="I207" s="5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</row>
    <row r="208" ht="15.75" customHeight="1">
      <c r="A208" s="4"/>
      <c r="B208" s="4"/>
      <c r="C208" s="5"/>
      <c r="D208" s="112"/>
      <c r="E208" s="5"/>
      <c r="F208" s="5"/>
      <c r="G208" s="5"/>
      <c r="H208" s="4"/>
      <c r="I208" s="5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</row>
    <row r="209" ht="15.75" customHeight="1">
      <c r="A209" s="4"/>
      <c r="B209" s="4"/>
      <c r="C209" s="5"/>
      <c r="D209" s="112"/>
      <c r="E209" s="5"/>
      <c r="F209" s="5"/>
      <c r="G209" s="5"/>
      <c r="H209" s="4"/>
      <c r="I209" s="5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</row>
    <row r="210" ht="15.75" customHeight="1">
      <c r="A210" s="4"/>
      <c r="B210" s="4"/>
      <c r="C210" s="5"/>
      <c r="D210" s="112"/>
      <c r="E210" s="5"/>
      <c r="F210" s="5"/>
      <c r="G210" s="5"/>
      <c r="H210" s="4"/>
      <c r="I210" s="5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</row>
    <row r="211" ht="15.75" customHeight="1">
      <c r="A211" s="4"/>
      <c r="B211" s="4"/>
      <c r="C211" s="5"/>
      <c r="D211" s="112"/>
      <c r="E211" s="5"/>
      <c r="F211" s="5"/>
      <c r="G211" s="5"/>
      <c r="H211" s="4"/>
      <c r="I211" s="5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</row>
    <row r="212" ht="15.75" customHeight="1">
      <c r="A212" s="4"/>
      <c r="B212" s="4"/>
      <c r="C212" s="5"/>
      <c r="D212" s="112"/>
      <c r="E212" s="5"/>
      <c r="F212" s="5"/>
      <c r="G212" s="5"/>
      <c r="H212" s="4"/>
      <c r="I212" s="5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</row>
    <row r="213" ht="15.75" customHeight="1">
      <c r="A213" s="4"/>
      <c r="B213" s="4"/>
      <c r="C213" s="5"/>
      <c r="D213" s="112"/>
      <c r="E213" s="5"/>
      <c r="F213" s="5"/>
      <c r="G213" s="5"/>
      <c r="H213" s="4"/>
      <c r="I213" s="5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</row>
    <row r="214" ht="15.75" customHeight="1">
      <c r="A214" s="4"/>
      <c r="B214" s="4"/>
      <c r="C214" s="5"/>
      <c r="D214" s="112"/>
      <c r="E214" s="5"/>
      <c r="F214" s="5"/>
      <c r="G214" s="5"/>
      <c r="H214" s="4"/>
      <c r="I214" s="5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</row>
    <row r="215" ht="15.75" customHeight="1">
      <c r="A215" s="4"/>
      <c r="B215" s="4"/>
      <c r="C215" s="5"/>
      <c r="D215" s="112"/>
      <c r="E215" s="5"/>
      <c r="F215" s="5"/>
      <c r="G215" s="5"/>
      <c r="H215" s="4"/>
      <c r="I215" s="5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</row>
    <row r="216" ht="15.75" customHeight="1">
      <c r="A216" s="4"/>
      <c r="B216" s="4"/>
      <c r="C216" s="5"/>
      <c r="D216" s="112"/>
      <c r="E216" s="5"/>
      <c r="F216" s="5"/>
      <c r="G216" s="5"/>
      <c r="H216" s="4"/>
      <c r="I216" s="5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</row>
    <row r="217" ht="15.75" customHeight="1">
      <c r="A217" s="4"/>
      <c r="B217" s="4"/>
      <c r="C217" s="5"/>
      <c r="D217" s="112"/>
      <c r="E217" s="5"/>
      <c r="F217" s="5"/>
      <c r="G217" s="5"/>
      <c r="H217" s="4"/>
      <c r="I217" s="5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</row>
    <row r="218" ht="15.75" customHeight="1">
      <c r="A218" s="4"/>
      <c r="B218" s="4"/>
      <c r="C218" s="5"/>
      <c r="D218" s="112"/>
      <c r="E218" s="5"/>
      <c r="F218" s="5"/>
      <c r="G218" s="5"/>
      <c r="H218" s="4"/>
      <c r="I218" s="5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</row>
    <row r="219" ht="15.75" customHeight="1">
      <c r="A219" s="4"/>
      <c r="B219" s="4"/>
      <c r="C219" s="5"/>
      <c r="D219" s="112"/>
      <c r="E219" s="5"/>
      <c r="F219" s="5"/>
      <c r="G219" s="5"/>
      <c r="H219" s="4"/>
      <c r="I219" s="5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</row>
    <row r="220" ht="15.75" customHeight="1">
      <c r="A220" s="4"/>
      <c r="B220" s="4"/>
      <c r="C220" s="5"/>
      <c r="D220" s="112"/>
      <c r="E220" s="5"/>
      <c r="F220" s="5"/>
      <c r="G220" s="5"/>
      <c r="H220" s="4"/>
      <c r="I220" s="5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</row>
    <row r="221" ht="15.75" customHeight="1">
      <c r="A221" s="4"/>
      <c r="B221" s="4"/>
      <c r="C221" s="5"/>
      <c r="D221" s="112"/>
      <c r="E221" s="5"/>
      <c r="F221" s="5"/>
      <c r="G221" s="5"/>
      <c r="H221" s="4"/>
      <c r="I221" s="5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</row>
    <row r="222" ht="15.75" customHeight="1">
      <c r="A222" s="4"/>
      <c r="B222" s="4"/>
      <c r="C222" s="5"/>
      <c r="D222" s="112"/>
      <c r="E222" s="5"/>
      <c r="F222" s="5"/>
      <c r="G222" s="5"/>
      <c r="H222" s="4"/>
      <c r="I222" s="5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</row>
    <row r="223" ht="15.75" customHeight="1">
      <c r="A223" s="4"/>
      <c r="B223" s="4"/>
      <c r="C223" s="5"/>
      <c r="D223" s="112"/>
      <c r="E223" s="5"/>
      <c r="F223" s="5"/>
      <c r="G223" s="5"/>
      <c r="H223" s="4"/>
      <c r="I223" s="5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</row>
    <row r="224" ht="15.75" customHeight="1">
      <c r="A224" s="4"/>
      <c r="B224" s="4"/>
      <c r="C224" s="5"/>
      <c r="D224" s="112"/>
      <c r="E224" s="5"/>
      <c r="F224" s="5"/>
      <c r="G224" s="5"/>
      <c r="H224" s="4"/>
      <c r="I224" s="5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</row>
    <row r="225" ht="15.75" customHeight="1">
      <c r="A225" s="4"/>
      <c r="B225" s="4"/>
      <c r="C225" s="5"/>
      <c r="D225" s="112"/>
      <c r="E225" s="5"/>
      <c r="F225" s="5"/>
      <c r="G225" s="5"/>
      <c r="H225" s="4"/>
      <c r="I225" s="5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</row>
    <row r="226" ht="15.75" customHeight="1">
      <c r="A226" s="4"/>
      <c r="B226" s="4"/>
      <c r="C226" s="5"/>
      <c r="D226" s="112"/>
      <c r="E226" s="5"/>
      <c r="F226" s="5"/>
      <c r="G226" s="5"/>
      <c r="H226" s="4"/>
      <c r="I226" s="5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</row>
    <row r="227" ht="15.75" customHeight="1">
      <c r="A227" s="4"/>
      <c r="B227" s="4"/>
      <c r="C227" s="5"/>
      <c r="D227" s="112"/>
      <c r="E227" s="5"/>
      <c r="F227" s="5"/>
      <c r="G227" s="5"/>
      <c r="H227" s="4"/>
      <c r="I227" s="5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</row>
    <row r="228" ht="15.75" customHeight="1">
      <c r="A228" s="4"/>
      <c r="B228" s="4"/>
      <c r="C228" s="5"/>
      <c r="D228" s="112"/>
      <c r="E228" s="5"/>
      <c r="F228" s="5"/>
      <c r="G228" s="5"/>
      <c r="H228" s="4"/>
      <c r="I228" s="5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</row>
    <row r="229" ht="15.75" customHeight="1">
      <c r="A229" s="4"/>
      <c r="B229" s="4"/>
      <c r="C229" s="5"/>
      <c r="D229" s="112"/>
      <c r="E229" s="5"/>
      <c r="F229" s="5"/>
      <c r="G229" s="5"/>
      <c r="H229" s="4"/>
      <c r="I229" s="5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</row>
    <row r="230" ht="15.75" customHeight="1">
      <c r="A230" s="4"/>
      <c r="B230" s="4"/>
      <c r="C230" s="5"/>
      <c r="D230" s="112"/>
      <c r="E230" s="5"/>
      <c r="F230" s="5"/>
      <c r="G230" s="5"/>
      <c r="H230" s="4"/>
      <c r="I230" s="5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</row>
    <row r="231" ht="15.75" customHeight="1">
      <c r="A231" s="4"/>
      <c r="B231" s="4"/>
      <c r="C231" s="5"/>
      <c r="D231" s="112"/>
      <c r="E231" s="5"/>
      <c r="F231" s="5"/>
      <c r="G231" s="5"/>
      <c r="H231" s="4"/>
      <c r="I231" s="5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</row>
    <row r="232" ht="15.75" customHeight="1">
      <c r="A232" s="4"/>
      <c r="B232" s="4"/>
      <c r="C232" s="5"/>
      <c r="D232" s="112"/>
      <c r="E232" s="5"/>
      <c r="F232" s="5"/>
      <c r="G232" s="5"/>
      <c r="H232" s="4"/>
      <c r="I232" s="5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</row>
    <row r="233" ht="15.75" customHeight="1">
      <c r="A233" s="4"/>
      <c r="B233" s="4"/>
      <c r="C233" s="5"/>
      <c r="D233" s="112"/>
      <c r="E233" s="5"/>
      <c r="F233" s="5"/>
      <c r="G233" s="5"/>
      <c r="H233" s="4"/>
      <c r="I233" s="5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</row>
    <row r="234" ht="15.75" customHeight="1">
      <c r="A234" s="4"/>
      <c r="B234" s="4"/>
      <c r="C234" s="5"/>
      <c r="D234" s="112"/>
      <c r="E234" s="5"/>
      <c r="F234" s="5"/>
      <c r="G234" s="5"/>
      <c r="H234" s="4"/>
      <c r="I234" s="5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</row>
    <row r="235" ht="15.75" customHeight="1">
      <c r="A235" s="4"/>
      <c r="B235" s="4"/>
      <c r="C235" s="5"/>
      <c r="D235" s="112"/>
      <c r="E235" s="5"/>
      <c r="F235" s="5"/>
      <c r="G235" s="5"/>
      <c r="H235" s="4"/>
      <c r="I235" s="5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</row>
    <row r="236" ht="15.75" customHeight="1">
      <c r="A236" s="4"/>
      <c r="B236" s="4"/>
      <c r="C236" s="5"/>
      <c r="D236" s="112"/>
      <c r="E236" s="5"/>
      <c r="F236" s="5"/>
      <c r="G236" s="5"/>
      <c r="H236" s="4"/>
      <c r="I236" s="5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</row>
    <row r="237" ht="15.75" customHeight="1">
      <c r="A237" s="4"/>
      <c r="B237" s="4"/>
      <c r="C237" s="5"/>
      <c r="D237" s="112"/>
      <c r="E237" s="5"/>
      <c r="F237" s="5"/>
      <c r="G237" s="5"/>
      <c r="H237" s="4"/>
      <c r="I237" s="5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</row>
    <row r="238" ht="15.75" customHeight="1">
      <c r="A238" s="4"/>
      <c r="B238" s="4"/>
      <c r="C238" s="5"/>
      <c r="D238" s="112"/>
      <c r="E238" s="5"/>
      <c r="F238" s="5"/>
      <c r="G238" s="5"/>
      <c r="H238" s="4"/>
      <c r="I238" s="5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</row>
    <row r="239" ht="15.75" customHeight="1">
      <c r="A239" s="4"/>
      <c r="B239" s="4"/>
      <c r="C239" s="5"/>
      <c r="D239" s="112"/>
      <c r="E239" s="5"/>
      <c r="F239" s="5"/>
      <c r="G239" s="5"/>
      <c r="H239" s="4"/>
      <c r="I239" s="5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</row>
    <row r="240" ht="15.75" customHeight="1">
      <c r="A240" s="4"/>
      <c r="B240" s="4"/>
      <c r="C240" s="5"/>
      <c r="D240" s="112"/>
      <c r="E240" s="5"/>
      <c r="F240" s="5"/>
      <c r="G240" s="5"/>
      <c r="H240" s="4"/>
      <c r="I240" s="5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</row>
    <row r="241" ht="15.75" customHeight="1">
      <c r="A241" s="4"/>
      <c r="B241" s="4"/>
      <c r="C241" s="5"/>
      <c r="D241" s="112"/>
      <c r="E241" s="5"/>
      <c r="F241" s="5"/>
      <c r="G241" s="5"/>
      <c r="H241" s="4"/>
      <c r="I241" s="5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</row>
    <row r="242" ht="15.75" customHeight="1">
      <c r="A242" s="4"/>
      <c r="B242" s="4"/>
      <c r="C242" s="5"/>
      <c r="D242" s="112"/>
      <c r="E242" s="5"/>
      <c r="F242" s="5"/>
      <c r="G242" s="5"/>
      <c r="H242" s="4"/>
      <c r="I242" s="5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</row>
    <row r="243" ht="15.75" customHeight="1">
      <c r="A243" s="4"/>
      <c r="B243" s="4"/>
      <c r="C243" s="5"/>
      <c r="D243" s="112"/>
      <c r="E243" s="5"/>
      <c r="F243" s="5"/>
      <c r="G243" s="5"/>
      <c r="H243" s="4"/>
      <c r="I243" s="5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</row>
    <row r="244" ht="15.75" customHeight="1">
      <c r="A244" s="4"/>
      <c r="B244" s="4"/>
      <c r="C244" s="5"/>
      <c r="D244" s="112"/>
      <c r="E244" s="5"/>
      <c r="F244" s="5"/>
      <c r="G244" s="5"/>
      <c r="H244" s="4"/>
      <c r="I244" s="5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</row>
    <row r="245" ht="15.75" customHeight="1">
      <c r="A245" s="4"/>
      <c r="B245" s="4"/>
      <c r="C245" s="5"/>
      <c r="D245" s="112"/>
      <c r="E245" s="5"/>
      <c r="F245" s="5"/>
      <c r="G245" s="5"/>
      <c r="H245" s="4"/>
      <c r="I245" s="5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</row>
    <row r="246" ht="15.75" customHeight="1">
      <c r="A246" s="4"/>
      <c r="B246" s="4"/>
      <c r="C246" s="5"/>
      <c r="D246" s="112"/>
      <c r="E246" s="5"/>
      <c r="F246" s="5"/>
      <c r="G246" s="5"/>
      <c r="H246" s="4"/>
      <c r="I246" s="5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</row>
    <row r="247" ht="15.75" customHeight="1">
      <c r="A247" s="4"/>
      <c r="B247" s="4"/>
      <c r="C247" s="5"/>
      <c r="D247" s="112"/>
      <c r="E247" s="5"/>
      <c r="F247" s="5"/>
      <c r="G247" s="5"/>
      <c r="H247" s="4"/>
      <c r="I247" s="5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</row>
    <row r="248" ht="15.75" customHeight="1">
      <c r="A248" s="4"/>
      <c r="B248" s="4"/>
      <c r="C248" s="5"/>
      <c r="D248" s="112"/>
      <c r="E248" s="5"/>
      <c r="F248" s="5"/>
      <c r="G248" s="5"/>
      <c r="H248" s="4"/>
      <c r="I248" s="5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</row>
    <row r="249" ht="15.75" customHeight="1">
      <c r="A249" s="4"/>
      <c r="B249" s="4"/>
      <c r="C249" s="5"/>
      <c r="D249" s="112"/>
      <c r="E249" s="5"/>
      <c r="F249" s="5"/>
      <c r="G249" s="5"/>
      <c r="H249" s="4"/>
      <c r="I249" s="5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</row>
    <row r="250" ht="15.75" customHeight="1">
      <c r="A250" s="4"/>
      <c r="B250" s="4"/>
      <c r="C250" s="5"/>
      <c r="D250" s="112"/>
      <c r="E250" s="5"/>
      <c r="F250" s="5"/>
      <c r="G250" s="5"/>
      <c r="H250" s="4"/>
      <c r="I250" s="5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</row>
    <row r="251" ht="15.75" customHeight="1">
      <c r="A251" s="4"/>
      <c r="B251" s="4"/>
      <c r="C251" s="5"/>
      <c r="D251" s="112"/>
      <c r="E251" s="5"/>
      <c r="F251" s="5"/>
      <c r="G251" s="5"/>
      <c r="H251" s="4"/>
      <c r="I251" s="5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</row>
    <row r="252" ht="15.75" customHeight="1">
      <c r="A252" s="4"/>
      <c r="B252" s="4"/>
      <c r="C252" s="5"/>
      <c r="D252" s="112"/>
      <c r="E252" s="5"/>
      <c r="F252" s="5"/>
      <c r="G252" s="5"/>
      <c r="H252" s="4"/>
      <c r="I252" s="5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</row>
    <row r="253" ht="15.75" customHeight="1">
      <c r="A253" s="4"/>
      <c r="B253" s="4"/>
      <c r="C253" s="5"/>
      <c r="D253" s="112"/>
      <c r="E253" s="5"/>
      <c r="F253" s="5"/>
      <c r="G253" s="5"/>
      <c r="H253" s="4"/>
      <c r="I253" s="5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</row>
    <row r="254" ht="15.75" customHeight="1">
      <c r="A254" s="4"/>
      <c r="B254" s="4"/>
      <c r="C254" s="5"/>
      <c r="D254" s="112"/>
      <c r="E254" s="5"/>
      <c r="F254" s="5"/>
      <c r="G254" s="5"/>
      <c r="H254" s="4"/>
      <c r="I254" s="5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</row>
    <row r="255" ht="15.75" customHeight="1">
      <c r="A255" s="4"/>
      <c r="B255" s="4"/>
      <c r="C255" s="5"/>
      <c r="D255" s="112"/>
      <c r="E255" s="5"/>
      <c r="F255" s="5"/>
      <c r="G255" s="5"/>
      <c r="H255" s="4"/>
      <c r="I255" s="5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</row>
    <row r="256" ht="15.75" customHeight="1">
      <c r="A256" s="4"/>
      <c r="B256" s="4"/>
      <c r="C256" s="5"/>
      <c r="D256" s="112"/>
      <c r="E256" s="5"/>
      <c r="F256" s="5"/>
      <c r="G256" s="5"/>
      <c r="H256" s="4"/>
      <c r="I256" s="5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</row>
    <row r="257" ht="15.75" customHeight="1">
      <c r="A257" s="4"/>
      <c r="B257" s="4"/>
      <c r="C257" s="5"/>
      <c r="D257" s="112"/>
      <c r="E257" s="5"/>
      <c r="F257" s="5"/>
      <c r="G257" s="5"/>
      <c r="H257" s="4"/>
      <c r="I257" s="5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</row>
    <row r="258" ht="15.75" customHeight="1">
      <c r="A258" s="4"/>
      <c r="B258" s="4"/>
      <c r="C258" s="5"/>
      <c r="D258" s="112"/>
      <c r="E258" s="5"/>
      <c r="F258" s="5"/>
      <c r="G258" s="5"/>
      <c r="H258" s="4"/>
      <c r="I258" s="5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</row>
    <row r="259" ht="15.75" customHeight="1">
      <c r="A259" s="4"/>
      <c r="B259" s="4"/>
      <c r="C259" s="5"/>
      <c r="D259" s="112"/>
      <c r="E259" s="5"/>
      <c r="F259" s="5"/>
      <c r="G259" s="5"/>
      <c r="H259" s="4"/>
      <c r="I259" s="5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</row>
    <row r="260" ht="15.75" customHeight="1">
      <c r="A260" s="4"/>
      <c r="B260" s="4"/>
      <c r="C260" s="5"/>
      <c r="D260" s="112"/>
      <c r="E260" s="5"/>
      <c r="F260" s="5"/>
      <c r="G260" s="5"/>
      <c r="H260" s="4"/>
      <c r="I260" s="5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</row>
    <row r="261" ht="15.75" customHeight="1">
      <c r="A261" s="4"/>
      <c r="B261" s="4"/>
      <c r="C261" s="5"/>
      <c r="D261" s="112"/>
      <c r="E261" s="5"/>
      <c r="F261" s="5"/>
      <c r="G261" s="5"/>
      <c r="H261" s="4"/>
      <c r="I261" s="5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</row>
    <row r="262" ht="15.75" customHeight="1">
      <c r="A262" s="4"/>
      <c r="B262" s="4"/>
      <c r="C262" s="5"/>
      <c r="D262" s="112"/>
      <c r="E262" s="5"/>
      <c r="F262" s="5"/>
      <c r="G262" s="5"/>
      <c r="H262" s="4"/>
      <c r="I262" s="5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</row>
    <row r="263" ht="15.75" customHeight="1">
      <c r="A263" s="4"/>
      <c r="B263" s="4"/>
      <c r="C263" s="5"/>
      <c r="D263" s="112"/>
      <c r="E263" s="5"/>
      <c r="F263" s="5"/>
      <c r="G263" s="5"/>
      <c r="H263" s="4"/>
      <c r="I263" s="5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</row>
    <row r="264" ht="15.75" customHeight="1">
      <c r="A264" s="4"/>
      <c r="B264" s="4"/>
      <c r="C264" s="5"/>
      <c r="D264" s="112"/>
      <c r="E264" s="5"/>
      <c r="F264" s="5"/>
      <c r="G264" s="5"/>
      <c r="H264" s="4"/>
      <c r="I264" s="5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</row>
    <row r="265" ht="15.75" customHeight="1">
      <c r="A265" s="4"/>
      <c r="B265" s="4"/>
      <c r="C265" s="5"/>
      <c r="D265" s="112"/>
      <c r="E265" s="5"/>
      <c r="F265" s="5"/>
      <c r="G265" s="5"/>
      <c r="H265" s="4"/>
      <c r="I265" s="5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</row>
    <row r="266" ht="15.75" customHeight="1">
      <c r="A266" s="4"/>
      <c r="B266" s="4"/>
      <c r="C266" s="5"/>
      <c r="D266" s="112"/>
      <c r="E266" s="5"/>
      <c r="F266" s="5"/>
      <c r="G266" s="5"/>
      <c r="H266" s="4"/>
      <c r="I266" s="5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</row>
    <row r="267" ht="15.75" customHeight="1">
      <c r="A267" s="4"/>
      <c r="B267" s="4"/>
      <c r="C267" s="5"/>
      <c r="D267" s="112"/>
      <c r="E267" s="5"/>
      <c r="F267" s="5"/>
      <c r="G267" s="5"/>
      <c r="H267" s="4"/>
      <c r="I267" s="5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</row>
    <row r="268" ht="15.75" customHeight="1">
      <c r="A268" s="4"/>
      <c r="B268" s="4"/>
      <c r="C268" s="5"/>
      <c r="D268" s="112"/>
      <c r="E268" s="5"/>
      <c r="F268" s="5"/>
      <c r="G268" s="5"/>
      <c r="H268" s="4"/>
      <c r="I268" s="5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</row>
    <row r="269" ht="15.75" customHeight="1">
      <c r="A269" s="4"/>
      <c r="B269" s="4"/>
      <c r="C269" s="5"/>
      <c r="D269" s="112"/>
      <c r="E269" s="5"/>
      <c r="F269" s="5"/>
      <c r="G269" s="5"/>
      <c r="H269" s="4"/>
      <c r="I269" s="5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</row>
    <row r="270" ht="15.75" customHeight="1">
      <c r="A270" s="4"/>
      <c r="B270" s="4"/>
      <c r="C270" s="5"/>
      <c r="D270" s="112"/>
      <c r="E270" s="5"/>
      <c r="F270" s="5"/>
      <c r="G270" s="5"/>
      <c r="H270" s="4"/>
      <c r="I270" s="5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</row>
    <row r="271" ht="15.75" customHeight="1">
      <c r="A271" s="4"/>
      <c r="B271" s="4"/>
      <c r="C271" s="5"/>
      <c r="D271" s="112"/>
      <c r="E271" s="5"/>
      <c r="F271" s="5"/>
      <c r="G271" s="5"/>
      <c r="H271" s="4"/>
      <c r="I271" s="5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</row>
    <row r="272" ht="15.75" customHeight="1">
      <c r="A272" s="4"/>
      <c r="B272" s="4"/>
      <c r="C272" s="5"/>
      <c r="D272" s="112"/>
      <c r="E272" s="5"/>
      <c r="F272" s="5"/>
      <c r="G272" s="5"/>
      <c r="H272" s="4"/>
      <c r="I272" s="5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</row>
    <row r="273" ht="15.75" customHeight="1">
      <c r="A273" s="4"/>
      <c r="B273" s="4"/>
      <c r="C273" s="5"/>
      <c r="D273" s="112"/>
      <c r="E273" s="5"/>
      <c r="F273" s="5"/>
      <c r="G273" s="5"/>
      <c r="H273" s="4"/>
      <c r="I273" s="5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</row>
    <row r="274" ht="15.75" customHeight="1">
      <c r="A274" s="4"/>
      <c r="B274" s="4"/>
      <c r="C274" s="5"/>
      <c r="D274" s="112"/>
      <c r="E274" s="5"/>
      <c r="F274" s="5"/>
      <c r="G274" s="5"/>
      <c r="H274" s="4"/>
      <c r="I274" s="5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</row>
    <row r="275" ht="15.75" customHeight="1">
      <c r="A275" s="4"/>
      <c r="B275" s="4"/>
      <c r="C275" s="5"/>
      <c r="D275" s="112"/>
      <c r="E275" s="5"/>
      <c r="F275" s="5"/>
      <c r="G275" s="5"/>
      <c r="H275" s="4"/>
      <c r="I275" s="5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</row>
    <row r="276" ht="15.75" customHeight="1">
      <c r="A276" s="4"/>
      <c r="B276" s="4"/>
      <c r="C276" s="5"/>
      <c r="D276" s="112"/>
      <c r="E276" s="5"/>
      <c r="F276" s="5"/>
      <c r="G276" s="5"/>
      <c r="H276" s="4"/>
      <c r="I276" s="5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</row>
    <row r="277" ht="15.75" customHeight="1">
      <c r="A277" s="4"/>
      <c r="B277" s="4"/>
      <c r="C277" s="5"/>
      <c r="D277" s="112"/>
      <c r="E277" s="5"/>
      <c r="F277" s="5"/>
      <c r="G277" s="5"/>
      <c r="H277" s="4"/>
      <c r="I277" s="5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</row>
    <row r="278" ht="15.75" customHeight="1">
      <c r="A278" s="4"/>
      <c r="B278" s="4"/>
      <c r="C278" s="5"/>
      <c r="D278" s="112"/>
      <c r="E278" s="5"/>
      <c r="F278" s="5"/>
      <c r="G278" s="5"/>
      <c r="H278" s="4"/>
      <c r="I278" s="5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</row>
    <row r="279" ht="15.75" customHeight="1">
      <c r="A279" s="4"/>
      <c r="B279" s="4"/>
      <c r="C279" s="5"/>
      <c r="D279" s="112"/>
      <c r="E279" s="5"/>
      <c r="F279" s="5"/>
      <c r="G279" s="5"/>
      <c r="H279" s="4"/>
      <c r="I279" s="5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</row>
    <row r="280" ht="15.75" customHeight="1">
      <c r="A280" s="4"/>
      <c r="B280" s="4"/>
      <c r="C280" s="5"/>
      <c r="D280" s="112"/>
      <c r="E280" s="5"/>
      <c r="F280" s="5"/>
      <c r="G280" s="5"/>
      <c r="H280" s="4"/>
      <c r="I280" s="5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</row>
    <row r="281" ht="15.75" customHeight="1">
      <c r="A281" s="4"/>
      <c r="B281" s="4"/>
      <c r="C281" s="5"/>
      <c r="D281" s="112"/>
      <c r="E281" s="5"/>
      <c r="F281" s="5"/>
      <c r="G281" s="5"/>
      <c r="H281" s="4"/>
      <c r="I281" s="5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</row>
    <row r="282" ht="15.75" customHeight="1">
      <c r="A282" s="4"/>
      <c r="B282" s="4"/>
      <c r="C282" s="5"/>
      <c r="D282" s="112"/>
      <c r="E282" s="5"/>
      <c r="F282" s="5"/>
      <c r="G282" s="5"/>
      <c r="H282" s="4"/>
      <c r="I282" s="5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</row>
    <row r="283" ht="15.75" customHeight="1">
      <c r="A283" s="4"/>
      <c r="B283" s="4"/>
      <c r="C283" s="5"/>
      <c r="D283" s="112"/>
      <c r="E283" s="5"/>
      <c r="F283" s="5"/>
      <c r="G283" s="5"/>
      <c r="H283" s="4"/>
      <c r="I283" s="5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</row>
    <row r="284" ht="15.75" customHeight="1">
      <c r="A284" s="4"/>
      <c r="B284" s="4"/>
      <c r="C284" s="5"/>
      <c r="D284" s="112"/>
      <c r="E284" s="5"/>
      <c r="F284" s="5"/>
      <c r="G284" s="5"/>
      <c r="H284" s="4"/>
      <c r="I284" s="5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</row>
    <row r="285" ht="15.75" customHeight="1">
      <c r="A285" s="4"/>
      <c r="B285" s="4"/>
      <c r="C285" s="5"/>
      <c r="D285" s="112"/>
      <c r="E285" s="5"/>
      <c r="F285" s="5"/>
      <c r="G285" s="5"/>
      <c r="H285" s="4"/>
      <c r="I285" s="5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</row>
    <row r="286" ht="15.75" customHeight="1">
      <c r="A286" s="4"/>
      <c r="B286" s="4"/>
      <c r="C286" s="5"/>
      <c r="D286" s="112"/>
      <c r="E286" s="5"/>
      <c r="F286" s="5"/>
      <c r="G286" s="5"/>
      <c r="H286" s="4"/>
      <c r="I286" s="5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</row>
    <row r="287" ht="15.75" customHeight="1">
      <c r="A287" s="4"/>
      <c r="B287" s="4"/>
      <c r="C287" s="5"/>
      <c r="D287" s="112"/>
      <c r="E287" s="5"/>
      <c r="F287" s="5"/>
      <c r="G287" s="5"/>
      <c r="H287" s="4"/>
      <c r="I287" s="5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</row>
    <row r="288" ht="15.75" customHeight="1">
      <c r="A288" s="4"/>
      <c r="B288" s="4"/>
      <c r="C288" s="5"/>
      <c r="D288" s="112"/>
      <c r="E288" s="5"/>
      <c r="F288" s="5"/>
      <c r="G288" s="5"/>
      <c r="H288" s="4"/>
      <c r="I288" s="5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</row>
    <row r="289" ht="15.75" customHeight="1">
      <c r="A289" s="4"/>
      <c r="B289" s="4"/>
      <c r="C289" s="5"/>
      <c r="D289" s="112"/>
      <c r="E289" s="5"/>
      <c r="F289" s="5"/>
      <c r="G289" s="5"/>
      <c r="H289" s="4"/>
      <c r="I289" s="5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</row>
    <row r="290" ht="15.75" customHeight="1">
      <c r="A290" s="4"/>
      <c r="B290" s="4"/>
      <c r="C290" s="5"/>
      <c r="D290" s="112"/>
      <c r="E290" s="5"/>
      <c r="F290" s="5"/>
      <c r="G290" s="5"/>
      <c r="H290" s="4"/>
      <c r="I290" s="5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</row>
    <row r="291" ht="15.75" customHeight="1">
      <c r="A291" s="4"/>
      <c r="B291" s="4"/>
      <c r="C291" s="5"/>
      <c r="D291" s="112"/>
      <c r="E291" s="5"/>
      <c r="F291" s="5"/>
      <c r="G291" s="5"/>
      <c r="H291" s="4"/>
      <c r="I291" s="5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</row>
    <row r="292" ht="15.75" customHeight="1">
      <c r="A292" s="4"/>
      <c r="B292" s="4"/>
      <c r="C292" s="5"/>
      <c r="D292" s="112"/>
      <c r="E292" s="5"/>
      <c r="F292" s="5"/>
      <c r="G292" s="5"/>
      <c r="H292" s="4"/>
      <c r="I292" s="5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</row>
    <row r="293" ht="15.75" customHeight="1">
      <c r="A293" s="4"/>
      <c r="B293" s="4"/>
      <c r="C293" s="5"/>
      <c r="D293" s="112"/>
      <c r="E293" s="5"/>
      <c r="F293" s="5"/>
      <c r="G293" s="5"/>
      <c r="H293" s="4"/>
      <c r="I293" s="5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</row>
    <row r="294" ht="15.75" customHeight="1">
      <c r="A294" s="4"/>
      <c r="B294" s="4"/>
      <c r="C294" s="5"/>
      <c r="D294" s="112"/>
      <c r="E294" s="5"/>
      <c r="F294" s="5"/>
      <c r="G294" s="5"/>
      <c r="H294" s="4"/>
      <c r="I294" s="5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</row>
    <row r="295" ht="15.75" customHeight="1">
      <c r="A295" s="4"/>
      <c r="B295" s="4"/>
      <c r="C295" s="5"/>
      <c r="D295" s="112"/>
      <c r="E295" s="5"/>
      <c r="F295" s="5"/>
      <c r="G295" s="5"/>
      <c r="H295" s="4"/>
      <c r="I295" s="5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</row>
    <row r="296" ht="15.75" customHeight="1">
      <c r="A296" s="4"/>
      <c r="B296" s="4"/>
      <c r="C296" s="5"/>
      <c r="D296" s="112"/>
      <c r="E296" s="5"/>
      <c r="F296" s="5"/>
      <c r="G296" s="5"/>
      <c r="H296" s="4"/>
      <c r="I296" s="5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</row>
    <row r="297" ht="15.75" customHeight="1">
      <c r="A297" s="4"/>
      <c r="B297" s="4"/>
      <c r="C297" s="5"/>
      <c r="D297" s="112"/>
      <c r="E297" s="5"/>
      <c r="F297" s="5"/>
      <c r="G297" s="5"/>
      <c r="H297" s="4"/>
      <c r="I297" s="5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</row>
    <row r="298" ht="15.75" customHeight="1">
      <c r="A298" s="4"/>
      <c r="B298" s="4"/>
      <c r="C298" s="5"/>
      <c r="D298" s="112"/>
      <c r="E298" s="5"/>
      <c r="F298" s="5"/>
      <c r="G298" s="5"/>
      <c r="H298" s="4"/>
      <c r="I298" s="5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</row>
    <row r="299" ht="15.75" customHeight="1">
      <c r="A299" s="4"/>
      <c r="B299" s="4"/>
      <c r="C299" s="5"/>
      <c r="D299" s="112"/>
      <c r="E299" s="5"/>
      <c r="F299" s="5"/>
      <c r="G299" s="5"/>
      <c r="H299" s="4"/>
      <c r="I299" s="5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</row>
    <row r="300" ht="15.75" customHeight="1">
      <c r="A300" s="4"/>
      <c r="B300" s="4"/>
      <c r="C300" s="5"/>
      <c r="D300" s="112"/>
      <c r="E300" s="5"/>
      <c r="F300" s="5"/>
      <c r="G300" s="5"/>
      <c r="H300" s="4"/>
      <c r="I300" s="5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</row>
    <row r="301" ht="15.75" customHeight="1">
      <c r="A301" s="4"/>
      <c r="B301" s="4"/>
      <c r="C301" s="5"/>
      <c r="D301" s="112"/>
      <c r="E301" s="5"/>
      <c r="F301" s="5"/>
      <c r="G301" s="5"/>
      <c r="H301" s="4"/>
      <c r="I301" s="5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</row>
    <row r="302" ht="15.75" customHeight="1">
      <c r="A302" s="4"/>
      <c r="B302" s="4"/>
      <c r="C302" s="5"/>
      <c r="D302" s="112"/>
      <c r="E302" s="5"/>
      <c r="F302" s="5"/>
      <c r="G302" s="5"/>
      <c r="H302" s="4"/>
      <c r="I302" s="5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</row>
    <row r="303" ht="15.75" customHeight="1">
      <c r="A303" s="4"/>
      <c r="B303" s="4"/>
      <c r="C303" s="5"/>
      <c r="D303" s="112"/>
      <c r="E303" s="5"/>
      <c r="F303" s="5"/>
      <c r="G303" s="5"/>
      <c r="H303" s="4"/>
      <c r="I303" s="5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</row>
    <row r="304" ht="15.75" customHeight="1">
      <c r="A304" s="4"/>
      <c r="B304" s="4"/>
      <c r="C304" s="5"/>
      <c r="D304" s="112"/>
      <c r="E304" s="5"/>
      <c r="F304" s="5"/>
      <c r="G304" s="5"/>
      <c r="H304" s="4"/>
      <c r="I304" s="5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</row>
    <row r="305" ht="15.75" customHeight="1">
      <c r="A305" s="4"/>
      <c r="B305" s="4"/>
      <c r="C305" s="5"/>
      <c r="D305" s="112"/>
      <c r="E305" s="5"/>
      <c r="F305" s="5"/>
      <c r="G305" s="5"/>
      <c r="H305" s="4"/>
      <c r="I305" s="5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</row>
    <row r="306" ht="15.75" customHeight="1">
      <c r="A306" s="4"/>
      <c r="B306" s="4"/>
      <c r="C306" s="5"/>
      <c r="D306" s="112"/>
      <c r="E306" s="5"/>
      <c r="F306" s="5"/>
      <c r="G306" s="5"/>
      <c r="H306" s="4"/>
      <c r="I306" s="5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</row>
    <row r="307" ht="15.75" customHeight="1">
      <c r="A307" s="4"/>
      <c r="B307" s="4"/>
      <c r="C307" s="5"/>
      <c r="D307" s="112"/>
      <c r="E307" s="5"/>
      <c r="F307" s="5"/>
      <c r="G307" s="5"/>
      <c r="H307" s="4"/>
      <c r="I307" s="5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</row>
    <row r="308" ht="15.75" customHeight="1">
      <c r="A308" s="4"/>
      <c r="B308" s="4"/>
      <c r="C308" s="5"/>
      <c r="D308" s="112"/>
      <c r="E308" s="5"/>
      <c r="F308" s="5"/>
      <c r="G308" s="5"/>
      <c r="H308" s="4"/>
      <c r="I308" s="5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</row>
    <row r="309" ht="15.75" customHeight="1">
      <c r="A309" s="4"/>
      <c r="B309" s="4"/>
      <c r="C309" s="5"/>
      <c r="D309" s="112"/>
      <c r="E309" s="5"/>
      <c r="F309" s="5"/>
      <c r="G309" s="5"/>
      <c r="H309" s="4"/>
      <c r="I309" s="5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</row>
    <row r="310" ht="15.75" customHeight="1">
      <c r="A310" s="4"/>
      <c r="B310" s="4"/>
      <c r="C310" s="5"/>
      <c r="D310" s="112"/>
      <c r="E310" s="5"/>
      <c r="F310" s="5"/>
      <c r="G310" s="5"/>
      <c r="H310" s="4"/>
      <c r="I310" s="5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</row>
    <row r="311" ht="15.75" customHeight="1">
      <c r="A311" s="4"/>
      <c r="B311" s="4"/>
      <c r="C311" s="5"/>
      <c r="D311" s="112"/>
      <c r="E311" s="5"/>
      <c r="F311" s="5"/>
      <c r="G311" s="5"/>
      <c r="H311" s="4"/>
      <c r="I311" s="5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</row>
    <row r="312" ht="15.75" customHeight="1">
      <c r="A312" s="4"/>
      <c r="B312" s="4"/>
      <c r="C312" s="5"/>
      <c r="D312" s="112"/>
      <c r="E312" s="5"/>
      <c r="F312" s="5"/>
      <c r="G312" s="5"/>
      <c r="H312" s="4"/>
      <c r="I312" s="5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</row>
    <row r="313" ht="15.75" customHeight="1">
      <c r="A313" s="4"/>
      <c r="B313" s="4"/>
      <c r="C313" s="5"/>
      <c r="D313" s="112"/>
      <c r="E313" s="5"/>
      <c r="F313" s="5"/>
      <c r="G313" s="5"/>
      <c r="H313" s="4"/>
      <c r="I313" s="5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</row>
    <row r="314" ht="15.75" customHeight="1">
      <c r="A314" s="4"/>
      <c r="B314" s="4"/>
      <c r="C314" s="5"/>
      <c r="D314" s="112"/>
      <c r="E314" s="5"/>
      <c r="F314" s="5"/>
      <c r="G314" s="5"/>
      <c r="H314" s="4"/>
      <c r="I314" s="5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</row>
    <row r="315" ht="15.75" customHeight="1">
      <c r="A315" s="4"/>
      <c r="B315" s="4"/>
      <c r="C315" s="5"/>
      <c r="D315" s="112"/>
      <c r="E315" s="5"/>
      <c r="F315" s="5"/>
      <c r="G315" s="5"/>
      <c r="H315" s="4"/>
      <c r="I315" s="5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</row>
    <row r="316" ht="15.75" customHeight="1">
      <c r="A316" s="4"/>
      <c r="B316" s="4"/>
      <c r="C316" s="5"/>
      <c r="D316" s="112"/>
      <c r="E316" s="5"/>
      <c r="F316" s="5"/>
      <c r="G316" s="5"/>
      <c r="H316" s="4"/>
      <c r="I316" s="5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</row>
    <row r="317" ht="15.75" customHeight="1">
      <c r="A317" s="4"/>
      <c r="B317" s="4"/>
      <c r="C317" s="5"/>
      <c r="D317" s="112"/>
      <c r="E317" s="5"/>
      <c r="F317" s="5"/>
      <c r="G317" s="5"/>
      <c r="H317" s="4"/>
      <c r="I317" s="5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</row>
    <row r="318" ht="15.75" customHeight="1">
      <c r="A318" s="4"/>
      <c r="B318" s="4"/>
      <c r="C318" s="5"/>
      <c r="D318" s="112"/>
      <c r="E318" s="5"/>
      <c r="F318" s="5"/>
      <c r="G318" s="5"/>
      <c r="H318" s="4"/>
      <c r="I318" s="5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</row>
    <row r="319" ht="15.75" customHeight="1">
      <c r="A319" s="4"/>
      <c r="B319" s="4"/>
      <c r="C319" s="5"/>
      <c r="D319" s="112"/>
      <c r="E319" s="5"/>
      <c r="F319" s="5"/>
      <c r="G319" s="5"/>
      <c r="H319" s="4"/>
      <c r="I319" s="5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</row>
    <row r="320" ht="15.75" customHeight="1">
      <c r="A320" s="4"/>
      <c r="B320" s="4"/>
      <c r="C320" s="5"/>
      <c r="D320" s="112"/>
      <c r="E320" s="5"/>
      <c r="F320" s="5"/>
      <c r="G320" s="5"/>
      <c r="H320" s="4"/>
      <c r="I320" s="5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</row>
    <row r="321" ht="15.75" customHeight="1">
      <c r="A321" s="4"/>
      <c r="B321" s="4"/>
      <c r="C321" s="5"/>
      <c r="D321" s="112"/>
      <c r="E321" s="5"/>
      <c r="F321" s="5"/>
      <c r="G321" s="5"/>
      <c r="H321" s="4"/>
      <c r="I321" s="5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</row>
    <row r="322" ht="15.75" customHeight="1">
      <c r="A322" s="4"/>
      <c r="B322" s="4"/>
      <c r="C322" s="5"/>
      <c r="D322" s="112"/>
      <c r="E322" s="5"/>
      <c r="F322" s="5"/>
      <c r="G322" s="5"/>
      <c r="H322" s="4"/>
      <c r="I322" s="5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</row>
    <row r="323" ht="15.75" customHeight="1">
      <c r="A323" s="4"/>
      <c r="B323" s="4"/>
      <c r="C323" s="5"/>
      <c r="D323" s="112"/>
      <c r="E323" s="5"/>
      <c r="F323" s="5"/>
      <c r="G323" s="5"/>
      <c r="H323" s="4"/>
      <c r="I323" s="5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</row>
    <row r="324" ht="15.75" customHeight="1">
      <c r="A324" s="4"/>
      <c r="B324" s="4"/>
      <c r="C324" s="5"/>
      <c r="D324" s="112"/>
      <c r="E324" s="5"/>
      <c r="F324" s="5"/>
      <c r="G324" s="5"/>
      <c r="H324" s="4"/>
      <c r="I324" s="5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</row>
    <row r="325" ht="15.75" customHeight="1">
      <c r="A325" s="4"/>
      <c r="B325" s="4"/>
      <c r="C325" s="5"/>
      <c r="D325" s="112"/>
      <c r="E325" s="5"/>
      <c r="F325" s="5"/>
      <c r="G325" s="5"/>
      <c r="H325" s="4"/>
      <c r="I325" s="5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</row>
    <row r="326" ht="15.75" customHeight="1">
      <c r="A326" s="4"/>
      <c r="B326" s="4"/>
      <c r="C326" s="5"/>
      <c r="D326" s="112"/>
      <c r="E326" s="5"/>
      <c r="F326" s="5"/>
      <c r="G326" s="5"/>
      <c r="H326" s="4"/>
      <c r="I326" s="5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</row>
    <row r="327" ht="15.75" customHeight="1">
      <c r="A327" s="4"/>
      <c r="B327" s="4"/>
      <c r="C327" s="5"/>
      <c r="D327" s="112"/>
      <c r="E327" s="5"/>
      <c r="F327" s="5"/>
      <c r="G327" s="5"/>
      <c r="H327" s="4"/>
      <c r="I327" s="5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</row>
    <row r="328" ht="15.75" customHeight="1">
      <c r="A328" s="4"/>
      <c r="B328" s="4"/>
      <c r="C328" s="5"/>
      <c r="D328" s="112"/>
      <c r="E328" s="5"/>
      <c r="F328" s="5"/>
      <c r="G328" s="5"/>
      <c r="H328" s="4"/>
      <c r="I328" s="5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</row>
    <row r="329" ht="15.75" customHeight="1">
      <c r="A329" s="4"/>
      <c r="B329" s="4"/>
      <c r="C329" s="5"/>
      <c r="D329" s="112"/>
      <c r="E329" s="5"/>
      <c r="F329" s="5"/>
      <c r="G329" s="5"/>
      <c r="H329" s="4"/>
      <c r="I329" s="5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</row>
    <row r="330" ht="15.75" customHeight="1">
      <c r="A330" s="4"/>
      <c r="B330" s="4"/>
      <c r="C330" s="5"/>
      <c r="D330" s="112"/>
      <c r="E330" s="5"/>
      <c r="F330" s="5"/>
      <c r="G330" s="5"/>
      <c r="H330" s="4"/>
      <c r="I330" s="5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</row>
    <row r="331" ht="15.75" customHeight="1">
      <c r="A331" s="4"/>
      <c r="B331" s="4"/>
      <c r="C331" s="5"/>
      <c r="D331" s="112"/>
      <c r="E331" s="5"/>
      <c r="F331" s="5"/>
      <c r="G331" s="5"/>
      <c r="H331" s="4"/>
      <c r="I331" s="5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</row>
    <row r="332" ht="15.75" customHeight="1">
      <c r="A332" s="4"/>
      <c r="B332" s="4"/>
      <c r="C332" s="5"/>
      <c r="D332" s="112"/>
      <c r="E332" s="5"/>
      <c r="F332" s="5"/>
      <c r="G332" s="5"/>
      <c r="H332" s="4"/>
      <c r="I332" s="5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</row>
    <row r="333" ht="15.75" customHeight="1">
      <c r="A333" s="4"/>
      <c r="B333" s="4"/>
      <c r="C333" s="5"/>
      <c r="D333" s="112"/>
      <c r="E333" s="5"/>
      <c r="F333" s="5"/>
      <c r="G333" s="5"/>
      <c r="H333" s="4"/>
      <c r="I333" s="5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</row>
    <row r="334" ht="15.75" customHeight="1">
      <c r="A334" s="4"/>
      <c r="B334" s="4"/>
      <c r="C334" s="5"/>
      <c r="D334" s="112"/>
      <c r="E334" s="5"/>
      <c r="F334" s="5"/>
      <c r="G334" s="5"/>
      <c r="H334" s="4"/>
      <c r="I334" s="5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</row>
    <row r="335" ht="15.75" customHeight="1">
      <c r="A335" s="4"/>
      <c r="B335" s="4"/>
      <c r="C335" s="5"/>
      <c r="D335" s="112"/>
      <c r="E335" s="5"/>
      <c r="F335" s="5"/>
      <c r="G335" s="5"/>
      <c r="H335" s="4"/>
      <c r="I335" s="5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</row>
    <row r="336" ht="15.75" customHeight="1">
      <c r="A336" s="4"/>
      <c r="B336" s="4"/>
      <c r="C336" s="5"/>
      <c r="D336" s="112"/>
      <c r="E336" s="5"/>
      <c r="F336" s="5"/>
      <c r="G336" s="5"/>
      <c r="H336" s="4"/>
      <c r="I336" s="5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</row>
    <row r="337" ht="15.75" customHeight="1">
      <c r="A337" s="4"/>
      <c r="B337" s="4"/>
      <c r="C337" s="5"/>
      <c r="D337" s="112"/>
      <c r="E337" s="5"/>
      <c r="F337" s="5"/>
      <c r="G337" s="5"/>
      <c r="H337" s="4"/>
      <c r="I337" s="5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</row>
    <row r="338" ht="15.75" customHeight="1">
      <c r="A338" s="4"/>
      <c r="B338" s="4"/>
      <c r="C338" s="5"/>
      <c r="D338" s="112"/>
      <c r="E338" s="5"/>
      <c r="F338" s="5"/>
      <c r="G338" s="5"/>
      <c r="H338" s="4"/>
      <c r="I338" s="5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</row>
    <row r="339" ht="15.75" customHeight="1">
      <c r="A339" s="4"/>
      <c r="B339" s="4"/>
      <c r="C339" s="5"/>
      <c r="D339" s="112"/>
      <c r="E339" s="5"/>
      <c r="F339" s="5"/>
      <c r="G339" s="5"/>
      <c r="H339" s="4"/>
      <c r="I339" s="5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</row>
    <row r="340" ht="15.75" customHeight="1">
      <c r="A340" s="4"/>
      <c r="B340" s="4"/>
      <c r="C340" s="5"/>
      <c r="D340" s="112"/>
      <c r="E340" s="5"/>
      <c r="F340" s="5"/>
      <c r="G340" s="5"/>
      <c r="H340" s="4"/>
      <c r="I340" s="5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</row>
    <row r="341" ht="15.75" customHeight="1">
      <c r="A341" s="4"/>
      <c r="B341" s="4"/>
      <c r="C341" s="5"/>
      <c r="D341" s="112"/>
      <c r="E341" s="5"/>
      <c r="F341" s="5"/>
      <c r="G341" s="5"/>
      <c r="H341" s="4"/>
      <c r="I341" s="5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</row>
    <row r="342" ht="15.75" customHeight="1">
      <c r="A342" s="4"/>
      <c r="B342" s="4"/>
      <c r="C342" s="5"/>
      <c r="D342" s="112"/>
      <c r="E342" s="5"/>
      <c r="F342" s="5"/>
      <c r="G342" s="5"/>
      <c r="H342" s="4"/>
      <c r="I342" s="5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</row>
    <row r="343" ht="15.75" customHeight="1">
      <c r="A343" s="4"/>
      <c r="B343" s="4"/>
      <c r="C343" s="5"/>
      <c r="D343" s="112"/>
      <c r="E343" s="5"/>
      <c r="F343" s="5"/>
      <c r="G343" s="5"/>
      <c r="H343" s="4"/>
      <c r="I343" s="5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</row>
    <row r="344" ht="15.75" customHeight="1">
      <c r="A344" s="4"/>
      <c r="B344" s="4"/>
      <c r="C344" s="5"/>
      <c r="D344" s="112"/>
      <c r="E344" s="5"/>
      <c r="F344" s="5"/>
      <c r="G344" s="5"/>
      <c r="H344" s="4"/>
      <c r="I344" s="5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</row>
    <row r="345" ht="15.75" customHeight="1">
      <c r="A345" s="4"/>
      <c r="B345" s="4"/>
      <c r="C345" s="5"/>
      <c r="D345" s="112"/>
      <c r="E345" s="5"/>
      <c r="F345" s="5"/>
      <c r="G345" s="5"/>
      <c r="H345" s="4"/>
      <c r="I345" s="5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</row>
    <row r="346" ht="15.75" customHeight="1">
      <c r="A346" s="4"/>
      <c r="B346" s="4"/>
      <c r="C346" s="5"/>
      <c r="D346" s="112"/>
      <c r="E346" s="5"/>
      <c r="F346" s="5"/>
      <c r="G346" s="5"/>
      <c r="H346" s="4"/>
      <c r="I346" s="5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</row>
    <row r="347" ht="15.75" customHeight="1">
      <c r="A347" s="4"/>
      <c r="B347" s="4"/>
      <c r="C347" s="5"/>
      <c r="D347" s="112"/>
      <c r="E347" s="5"/>
      <c r="F347" s="5"/>
      <c r="G347" s="5"/>
      <c r="H347" s="4"/>
      <c r="I347" s="5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</row>
    <row r="348" ht="15.75" customHeight="1">
      <c r="A348" s="4"/>
      <c r="B348" s="4"/>
      <c r="C348" s="5"/>
      <c r="D348" s="112"/>
      <c r="E348" s="5"/>
      <c r="F348" s="5"/>
      <c r="G348" s="5"/>
      <c r="H348" s="4"/>
      <c r="I348" s="5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</row>
    <row r="349" ht="15.75" customHeight="1">
      <c r="A349" s="4"/>
      <c r="B349" s="4"/>
      <c r="C349" s="5"/>
      <c r="D349" s="112"/>
      <c r="E349" s="5"/>
      <c r="F349" s="5"/>
      <c r="G349" s="5"/>
      <c r="H349" s="4"/>
      <c r="I349" s="5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</row>
    <row r="350" ht="15.75" customHeight="1">
      <c r="A350" s="4"/>
      <c r="B350" s="4"/>
      <c r="C350" s="5"/>
      <c r="D350" s="112"/>
      <c r="E350" s="5"/>
      <c r="F350" s="5"/>
      <c r="G350" s="5"/>
      <c r="H350" s="4"/>
      <c r="I350" s="5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</row>
    <row r="351" ht="15.75" customHeight="1">
      <c r="A351" s="4"/>
      <c r="B351" s="4"/>
      <c r="C351" s="5"/>
      <c r="D351" s="112"/>
      <c r="E351" s="5"/>
      <c r="F351" s="5"/>
      <c r="G351" s="5"/>
      <c r="H351" s="4"/>
      <c r="I351" s="5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</row>
    <row r="352" ht="15.75" customHeight="1">
      <c r="A352" s="4"/>
      <c r="B352" s="4"/>
      <c r="C352" s="5"/>
      <c r="D352" s="112"/>
      <c r="E352" s="5"/>
      <c r="F352" s="5"/>
      <c r="G352" s="5"/>
      <c r="H352" s="4"/>
      <c r="I352" s="5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</row>
    <row r="353" ht="15.75" customHeight="1">
      <c r="A353" s="4"/>
      <c r="B353" s="4"/>
      <c r="C353" s="5"/>
      <c r="D353" s="112"/>
      <c r="E353" s="5"/>
      <c r="F353" s="5"/>
      <c r="G353" s="5"/>
      <c r="H353" s="4"/>
      <c r="I353" s="5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</row>
    <row r="354" ht="15.75" customHeight="1">
      <c r="A354" s="4"/>
      <c r="B354" s="4"/>
      <c r="C354" s="5"/>
      <c r="D354" s="112"/>
      <c r="E354" s="5"/>
      <c r="F354" s="5"/>
      <c r="G354" s="5"/>
      <c r="H354" s="4"/>
      <c r="I354" s="5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</row>
    <row r="355" ht="15.75" customHeight="1">
      <c r="A355" s="4"/>
      <c r="B355" s="4"/>
      <c r="C355" s="5"/>
      <c r="D355" s="112"/>
      <c r="E355" s="5"/>
      <c r="F355" s="5"/>
      <c r="G355" s="5"/>
      <c r="H355" s="4"/>
      <c r="I355" s="5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</row>
    <row r="356" ht="15.75" customHeight="1">
      <c r="A356" s="4"/>
      <c r="B356" s="4"/>
      <c r="C356" s="5"/>
      <c r="D356" s="112"/>
      <c r="E356" s="5"/>
      <c r="F356" s="5"/>
      <c r="G356" s="5"/>
      <c r="H356" s="4"/>
      <c r="I356" s="5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</row>
    <row r="357" ht="15.75" customHeight="1">
      <c r="A357" s="4"/>
      <c r="B357" s="4"/>
      <c r="C357" s="5"/>
      <c r="D357" s="112"/>
      <c r="E357" s="5"/>
      <c r="F357" s="5"/>
      <c r="G357" s="5"/>
      <c r="H357" s="4"/>
      <c r="I357" s="5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</row>
    <row r="358" ht="15.75" customHeight="1">
      <c r="A358" s="4"/>
      <c r="B358" s="4"/>
      <c r="C358" s="5"/>
      <c r="D358" s="112"/>
      <c r="E358" s="5"/>
      <c r="F358" s="5"/>
      <c r="G358" s="5"/>
      <c r="H358" s="4"/>
      <c r="I358" s="5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</row>
    <row r="359" ht="15.75" customHeight="1">
      <c r="A359" s="4"/>
      <c r="B359" s="4"/>
      <c r="C359" s="5"/>
      <c r="D359" s="112"/>
      <c r="E359" s="5"/>
      <c r="F359" s="5"/>
      <c r="G359" s="5"/>
      <c r="H359" s="4"/>
      <c r="I359" s="5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</row>
    <row r="360" ht="15.75" customHeight="1">
      <c r="A360" s="4"/>
      <c r="B360" s="4"/>
      <c r="C360" s="5"/>
      <c r="D360" s="112"/>
      <c r="E360" s="5"/>
      <c r="F360" s="5"/>
      <c r="G360" s="5"/>
      <c r="H360" s="4"/>
      <c r="I360" s="5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</row>
    <row r="361" ht="15.75" customHeight="1">
      <c r="A361" s="4"/>
      <c r="B361" s="4"/>
      <c r="C361" s="5"/>
      <c r="D361" s="112"/>
      <c r="E361" s="5"/>
      <c r="F361" s="5"/>
      <c r="G361" s="5"/>
      <c r="H361" s="4"/>
      <c r="I361" s="5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</row>
    <row r="362" ht="15.75" customHeight="1">
      <c r="A362" s="4"/>
      <c r="B362" s="4"/>
      <c r="C362" s="5"/>
      <c r="D362" s="112"/>
      <c r="E362" s="5"/>
      <c r="F362" s="5"/>
      <c r="G362" s="5"/>
      <c r="H362" s="4"/>
      <c r="I362" s="5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</row>
    <row r="363" ht="15.75" customHeight="1">
      <c r="A363" s="4"/>
      <c r="B363" s="4"/>
      <c r="C363" s="5"/>
      <c r="D363" s="112"/>
      <c r="E363" s="5"/>
      <c r="F363" s="5"/>
      <c r="G363" s="5"/>
      <c r="H363" s="4"/>
      <c r="I363" s="5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</row>
    <row r="364" ht="15.75" customHeight="1">
      <c r="A364" s="4"/>
      <c r="B364" s="4"/>
      <c r="C364" s="5"/>
      <c r="D364" s="112"/>
      <c r="E364" s="5"/>
      <c r="F364" s="5"/>
      <c r="G364" s="5"/>
      <c r="H364" s="4"/>
      <c r="I364" s="5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</row>
  </sheetData>
  <mergeCells count="2">
    <mergeCell ref="A2:D2"/>
    <mergeCell ref="A7:E7"/>
  </mergeCells>
  <conditionalFormatting sqref="I28:I31 I56:I59 I75:I78 I90:I93 I105:I108 I121:I124">
    <cfRule type="notContainsBlanks" dxfId="5" priority="1">
      <formula>LEN(TRIM(I28))&gt;0</formula>
    </cfRule>
  </conditionalFormatting>
  <conditionalFormatting sqref="I12:I124">
    <cfRule type="containsText" dxfId="6" priority="2" operator="containsText" text="Bloqueado">
      <formula>NOT(ISERROR(SEARCH(("Bloqueado"),(I12))))</formula>
    </cfRule>
  </conditionalFormatting>
  <conditionalFormatting sqref="I12:I124">
    <cfRule type="containsText" dxfId="7" priority="3" operator="containsText" text="Completo">
      <formula>NOT(ISERROR(SEARCH(("Completo"),(I12))))</formula>
    </cfRule>
  </conditionalFormatting>
  <conditionalFormatting sqref="I12:I124">
    <cfRule type="containsText" dxfId="8" priority="4" operator="containsText" text="Não Iniciado">
      <formula>NOT(ISERROR(SEARCH(("Não Iniciado"),(I12))))</formula>
    </cfRule>
  </conditionalFormatting>
  <conditionalFormatting sqref="I12:I124">
    <cfRule type="containsText" dxfId="9" priority="5" operator="containsText" text="Em Progresso">
      <formula>NOT(ISERROR(SEARCH(("Em Progresso"),(I12))))</formula>
    </cfRule>
  </conditionalFormatting>
  <conditionalFormatting sqref="M12:IH124">
    <cfRule type="expression" dxfId="10" priority="6">
      <formula>AND(NOT(ISERROR(MATCH(ROW(),{12,15,17,36,37,38,44,54,71},0))),M$10&gt;=$F12,M$10&lt;=$G12)</formula>
    </cfRule>
  </conditionalFormatting>
  <conditionalFormatting sqref="M12:IH124">
    <cfRule type="expression" dxfId="11" priority="7">
      <formula>AND($J12&gt;0,M$10&gt;=$F12,M$10&lt;=$F12+($G12-$F12)*$J12)</formula>
    </cfRule>
  </conditionalFormatting>
  <conditionalFormatting sqref="M12:IH124">
    <cfRule type="expression" dxfId="12" priority="8">
      <formula>AND(M$10&gt;=$F12,M$10&lt;=$G12)</formula>
    </cfRule>
  </conditionalFormatting>
  <dataValidations>
    <dataValidation type="list" allowBlank="1" showErrorMessage="1" sqref="I12:I124">
      <formula1>$B$162:$B$165</formula1>
    </dataValidation>
  </dataValidations>
  <printOptions/>
  <pageMargins bottom="0.75" footer="0.0" header="0.0" left="0.7" right="0.7" top="0.75"/>
  <pageSetup orientation="landscape"/>
  <drawing r:id="rId1"/>
</worksheet>
</file>